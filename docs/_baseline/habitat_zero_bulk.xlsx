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서식 및 수변환경" state="visible" r:id="rId2"/>
  </sheets>
</workbook>
</file>

<file path=xl/sharedStrings.xml><?xml version="1.0" encoding="utf-8"?>
<sst xmlns="http://schemas.openxmlformats.org/spreadsheetml/2006/main" count="96">
  <si>
    <t>※ 엑셀 기반 수질/생태계 데이터 베이스 작성/관리 시 주의 사항</t>
  </si>
  <si>
    <t>[조사지점] 시트을 확인하고 DB 지점명에 [DB상 지점명] 값으로 입력할 것</t>
  </si>
  <si>
    <t>[서식 및 수변환경] 시트 외 자동계산 시트와 계산셀(검은 음영)은 입력 금지</t>
  </si>
  <si>
    <t>[서식 및 수변환경] 시트 항목의 주요 내용과 내용 설명을 확인 한 후 예시와 같은 형태로 입력할 것</t>
  </si>
  <si>
    <t>[서식 및 수변환경] 시트는 원형을 유지하고 데이터만 입력, 행, 열의 추가 삽입 또는 삭제 금지</t>
  </si>
  <si>
    <t>[서식 및 수변환경] 시트 내 항목이 없는 정보 및 특이 사항은 야장(Field note)에 입력</t>
  </si>
  <si>
    <t>[서식 및 수변환경]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</si>
  <si>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</si>
  <si>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</si>
  <si>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</si>
  <si>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</si>
  <si>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조사 불가시 /
불가시만 입력</t>
  </si>
  <si>
    <t>항목</t>
  </si>
  <si>
    <t>자연적 종횡사주</t>
  </si>
  <si>
    <t>하도 정비 /
하도의 자연성</t>
  </si>
  <si>
    <t>유속 다양성</t>
  </si>
  <si>
    <t>하천변 폭</t>
  </si>
  <si>
    <t>저수로 하안공</t>
  </si>
  <si>
    <t>제방하안 재료</t>
  </si>
  <si>
    <t>저질 상태</t>
  </si>
  <si>
    <t>횡구조물</t>
  </si>
  <si>
    <t>제외지 토지 이용</t>
  </si>
  <si>
    <t>제내지 토지 이용</t>
  </si>
  <si>
    <t>서식 및 수변환경
평가 등급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</si>
  <si>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</si>
  <si>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</si>
  <si>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</si>
  <si>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</si>
  <si>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</si>
  <si>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</si>
  <si>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</si>
  <si>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</si>
  <si>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좌표 위도</t>
  </si>
  <si>
    <t>좌표 경도</t>
  </si>
  <si>
    <t>날씨</t>
  </si>
  <si>
    <t>조사기관</t>
  </si>
  <si>
    <t>조사자</t>
  </si>
  <si>
    <t>조사 불가시</t>
  </si>
  <si>
    <t>평가내용</t>
  </si>
  <si>
    <t>물흐름 다양성 유발하는 
자연적인 종횡 사주 발생횟수</t>
  </si>
  <si>
    <t>하도 특성, 하도의 자연성 정도</t>
  </si>
  <si>
    <t>구간 내 유속 다양성</t>
  </si>
  <si>
    <t>수로폭과 제방내 폭간 비율
(완충지대 및 수로변 식생 서식처)</t>
  </si>
  <si>
    <t>저수로 하안공의 특성 평가</t>
  </si>
  <si>
    <t>제방 하안재료의 인공화 정도</t>
  </si>
  <si>
    <t>하상의 지배적인 
현지 저질 상태 평가</t>
  </si>
  <si>
    <t>어류 이동을 방해하는 
인공구조물의 방해정도</t>
  </si>
  <si>
    <t>제외지의 지배적인 
토지 이용의 인공화 정도</t>
  </si>
  <si>
    <t>제내지의 토지이용 상황이
하천생태계에 미치는 영향</t>
  </si>
  <si>
    <t>입력 금지 (자동생성)</t>
  </si>
  <si>
    <t>세부 설명</t>
  </si>
  <si>
    <t>"20XX반기1차" 형태로 작성, 띄어쓰기 없이 반기/분기/격월 등 맞춰 표기</t>
  </si>
  <si>
    <t>OO천+숫자 형태, 띄어쓰기 없이</t>
  </si>
  <si>
    <t>조사일(YYYYMM01)</t>
  </si>
  <si>
    <t>한강, 금강, 낙동강, 영산/섬진강 중 택 1</t>
  </si>
  <si>
    <t>본류/지류/기타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</si>
  <si>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</si>
  <si>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</si>
  <si>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</si>
  <si>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</si>
  <si>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</si>
  <si>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접근불가, 건천화, 공사중, 준설 
中 선택</t>
  </si>
  <si>
    <t>특이사항 있을 경우</t>
  </si>
  <si>
    <t>판정점수</t>
  </si>
  <si>
    <t>10: 4회 이상 / 5: 3회 / 3: 2회 / 1: 1회 / 0: 없음</t>
  </si>
  <si>
    <t>25: 정비하지 않은 자연 사행하천 / 15: 정비되었으나 하도, 저수로 사행유지 /
10: 하도 직강화, 저수로 사행 / 5: 하도, 저수로의 직강화 (저수로 폭의 변화 유지)/
0: 하도, 저수로의 인공 (일정 폭) 직강화</t>
  </si>
  <si>
    <t>30: 뚜렷한 유속차이가 5-6회 이상 발생 / 25: 유속차이가 3-4회 발생 / 
15: 유속차이가 1-2회 발생 / 5: 유속의 변화가 거의 없음 / 0: 건천화 되었음</t>
  </si>
  <si>
    <t>10: 2.0&lt;비율 / 5: 1.5&lt;비율≤2.0 / 3:1.0&lt;비율≤1.5 / 1: 0.5&lt;비율≤1.0 / 0:비율≤0.5</t>
  </si>
  <si>
    <t>25: 하안공이 없는 자연 상태 / 10: 목책 등 자연 소재 + 인공 식생하안 / 
5: 사석, 석축 + 인공 식생하안 / 3: 사석 또는 석축 하안 (투수성) /
0: 콘크리트 하안 (불투수성)</t>
  </si>
  <si>
    <t>20: 인공제방이 없는 경우 / 10: 인공 흙제방 (자연식생, 잔디 식재 등) / 
5: 사석쌓기, 자연형하안 블록에 인공식생 포함 / 3: 사석쌓기, 자연형하안 블록( 투수성) / 
0: 하안블록, 콘크리트 하안 (불투수성)</t>
  </si>
  <si>
    <t>30: 거암 이상, 모서리가 둥근 돌 / 
20: 자갈-호박돌이 많이 존재하고 대체로 모서리가 둥긂 (일부 모래 존재) /
10: 잔자갈-모래 혼재 (돌의 경우 모서리가 있는 돌이 많음) 혹은 모래가 지배적임 / 
3: 실트 혹은 더러운 진흙 / 0: 콘크리트 바닥으로만 구성</t>
  </si>
  <si>
    <t>30: 횡구조물 없음 / 20: 울퉁불퉁한 완경사수로 형태 / 
10: 별도의 어도가 존재하며 설치활용기준이 모두 준수됨 / 
3: 별도의 어도가 존재하나, 설치활용기준 중 1-2종이 준수됨 /
0: 횡구조물에 어도가 없거나 파손되어 기능을 못함</t>
  </si>
  <si>
    <t>10: 자연식생, 인공구조물이 없는 경우 / 
5: 자연식생과 인공식생 (잔디, 초지공원 등) 혼재 / 
3: 경작지 (논, 밭 등) / 1: 1/2 정도의 공원 및 운동장 시설 /
0: 주차장, 불투수성 인공구조물 설치</t>
  </si>
  <si>
    <t>10: 초지나 관목림 등의 자연 상태 / 5: 인공녹지와 자연녹지의 혼재 / 
3: 대부분 경작지, 공원, 일부구간의 시가지와 주거지 / 
1: 일부분 경작지, 1/2정도의 시가지와 주거지 / 
0: 1/2이상의 시가지와 주거지</t>
  </si>
  <si>
    <t>서식 수변 평가</t>
  </si>
  <si>
    <t>평가-접근불가 반영시 "-"</t>
  </si>
  <si>
    <t>2021기준평가(A-E)</t>
  </si>
  <si>
    <t>(예시)</t>
  </si>
  <si>
    <t>2023반기1차</t>
  </si>
  <si>
    <t>삼성천1</t>
  </si>
  <si>
    <t>한강</t>
  </si>
  <si>
    <t>안성천</t>
  </si>
  <si>
    <t>삼성천</t>
  </si>
  <si>
    <t>지류</t>
  </si>
  <si>
    <t>삼성전자</t>
  </si>
  <si>
    <t>김삼성</t>
  </si>
  <si>
    <t>2026반기1차_HRI0</t>
  </si>
  <si>
    <t>곡교천1</t>
  </si>
  <si>
    <t>금강</t>
  </si>
  <si>
    <t>삽교천</t>
  </si>
  <si>
    <t>곡교천</t>
  </si>
  <si>
    <t>평지형</t>
  </si>
  <si>
    <t>맑음</t>
  </si>
  <si>
    <t>한국환경지리연구소</t>
  </si>
  <si>
    <t>기준픽스처</t>
  </si>
  <si>
    <t>평가항목 10개 전부 0점 — 합계 0 · 점수 0 · 등급 E 여야 한다</t>
  </si>
</sst>
</file>

<file path=xl/styles.xml><?xml version="1.0" encoding="utf-8"?>
<styleSheet xmlns="http://schemas.openxmlformats.org/spreadsheetml/2006/main">
  <numFmts count="2">
    <numFmt formatCode="0_);[Red]\(0\)" numFmtId="197"/>
    <numFmt formatCode="0.0_ " numFmtId="198"/>
  </numFmts>
  <fonts count="20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false"/>
      <i val="false"/>
      <u val="none"/>
      <sz val="9"/>
      <color rgb="FF000000"/>
      <name val="Calibri Light"/>
      <scheme val="major"/>
    </font>
    <font>
      <b val="false"/>
      <i val="false"/>
      <u val="none"/>
      <sz val="9"/>
      <color theme="1"/>
      <name val="Calibri Light"/>
      <scheme val="major"/>
    </font>
    <font>
      <b val="false"/>
      <i val="false"/>
      <u val="none"/>
      <sz val="9"/>
      <color theme="0"/>
      <name val="Calibri Light"/>
      <scheme val="major"/>
    </font>
    <font>
      <b val="true"/>
      <i val="false"/>
      <u val="none"/>
      <sz val="12"/>
      <color rgb="FFFFFF00"/>
      <name val="Calibri Light"/>
      <scheme val="major"/>
    </font>
    <font>
      <b val="true"/>
      <i val="false"/>
      <u val="none"/>
      <sz val="11"/>
      <color rgb="FF000000"/>
      <name val="Calibri Light"/>
      <scheme val="major"/>
    </font>
    <font>
      <b val="true"/>
      <i val="false"/>
      <u val="none"/>
      <sz val="11"/>
      <color theme="1"/>
      <name val="Calibri Light"/>
      <scheme val="major"/>
    </font>
    <font>
      <b val="false"/>
      <i val="false"/>
      <u val="none"/>
      <sz val="10"/>
      <color rgb="FF000000"/>
      <name val="Calibri Light"/>
      <scheme val="major"/>
    </font>
    <font>
      <b val="true"/>
      <i val="false"/>
      <u val="none"/>
      <sz val="11"/>
      <color theme="0"/>
      <name val="Calibri Light"/>
      <scheme val="major"/>
    </font>
    <font>
      <b val="true"/>
      <i val="false"/>
      <u val="none"/>
      <sz val="10"/>
      <color rgb="FF000000"/>
      <name val="Calibri Light"/>
      <scheme val="major"/>
    </font>
    <font>
      <b val="true"/>
      <i val="false"/>
      <u val="none"/>
      <sz val="9"/>
      <color theme="1"/>
      <name val="Calibri Light"/>
      <scheme val="major"/>
    </font>
    <font>
      <b val="true"/>
      <i val="false"/>
      <u val="none"/>
      <sz val="9"/>
      <color rgb="FF000000"/>
      <name val="Calibri Light"/>
      <scheme val="major"/>
    </font>
    <font>
      <b val="true"/>
      <i val="false"/>
      <u val="none"/>
      <sz val="11"/>
      <color rgb="FFFF0000"/>
      <name val="Calibri Light"/>
      <scheme val="major"/>
    </font>
    <font>
      <b val="true"/>
      <i val="false"/>
      <u val="none"/>
      <sz val="9"/>
      <color rgb="FFFF0000"/>
      <name val="Calibri Light"/>
      <scheme val="major"/>
    </font>
    <font>
      <b val="true"/>
      <i val="false"/>
      <u val="none"/>
      <sz val="12"/>
      <color rgb="FFFF0000"/>
      <name val="Calibri Light"/>
      <scheme val="major"/>
    </font>
    <font>
      <b val="true"/>
      <i val="false"/>
      <u val="none"/>
      <sz val="9"/>
      <color rgb="FF000000"/>
      <name val="Calibri"/>
      <scheme val="minor"/>
    </font>
    <font>
      <b val="false"/>
      <i val="false"/>
      <u val="none"/>
      <sz val="11"/>
      <color theme="1"/>
      <name val="Calibri Light"/>
      <scheme val="major"/>
    </font>
    <font>
      <b val="false"/>
      <i val="false"/>
      <u val="none"/>
      <sz val="11"/>
      <color theme="0"/>
      <name val="Calibri Light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4" tint="0.6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4" tint="0.4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4" tint="0.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</borders>
  <cellStyleXfs count="3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false" applyProtection="false">
      <alignment vertical="center"/>
    </xf>
  </cellStyleXfs>
  <cellXfs count="89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borderId="0" xfId="2" applyNumberFormat="true" applyFont="true" applyFill="false" applyBorder="false" applyAlignment="false" applyProtection="false">
      <alignment vertical="center"/>
    </xf>
    <xf numFmtId="0" fontId="2" fillId="2" xfId="1" applyFont="true" applyFill="true">
      <alignment vertical="center"/>
    </xf>
    <xf numFmtId="0" fontId="2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3" fillId="2" borderId="1" xfId="2" applyFont="true" applyFill="true" applyBorder="true">
      <alignment horizontal="center" vertical="center"/>
      <protection locked="false"/>
    </xf>
    <xf numFmtId="0" fontId="3" fillId="4" borderId="1" xfId="2" applyFont="true" applyFill="true" applyBorder="true">
      <alignment horizontal="center" vertical="center"/>
      <protection locked="false"/>
    </xf>
    <xf numFmtId="0" fontId="3" fillId="4" borderId="2" xfId="2" applyFont="true" applyFill="true" applyBorder="true">
      <alignment horizontal="center" vertical="center"/>
      <protection locked="false"/>
    </xf>
    <xf numFmtId="197" fontId="4" fillId="5" borderId="1" xfId="1" applyNumberFormat="true" applyFont="true" applyFill="true" applyBorder="true">
      <alignment horizontal="left" vertical="center"/>
      <protection locked="false"/>
    </xf>
    <xf numFmtId="0" fontId="3" fillId="6" borderId="1" xfId="1" applyFont="true" applyFill="true" applyBorder="true">
      <alignment horizontal="left" vertical="center"/>
      <protection locked="false"/>
    </xf>
    <xf numFmtId="0" fontId="5" fillId="7" borderId="1" xfId="1" applyFont="true" applyFill="true" applyBorder="true">
      <alignment horizontal="left" vertical="center"/>
    </xf>
    <xf numFmtId="0" fontId="6" fillId="7" xfId="1" applyFont="true" applyFill="true">
      <alignment horizontal="center" vertical="center"/>
    </xf>
    <xf numFmtId="0" fontId="7" fillId="4" borderId="3" xfId="2" applyFont="true" applyFill="true" applyBorder="true">
      <alignment horizontal="center" vertical="center" wrapText="true"/>
      <protection locked="false"/>
    </xf>
    <xf numFmtId="0" fontId="7" fillId="4" borderId="4" xfId="2" applyFont="true" applyFill="true" applyBorder="true">
      <alignment horizontal="center" vertical="center" wrapText="true"/>
      <protection locked="false"/>
    </xf>
    <xf numFmtId="197" fontId="8" fillId="5" borderId="1" xfId="1" applyNumberFormat="true" applyFont="true" applyFill="true" applyBorder="true">
      <alignment horizontal="center" vertical="center" wrapText="true"/>
      <protection locked="false"/>
    </xf>
    <xf numFmtId="0" fontId="7" fillId="8" borderId="1" xfId="1" applyFont="true" applyFill="true" applyBorder="true">
      <alignment horizontal="center" vertical="center"/>
      <protection locked="false"/>
    </xf>
    <xf numFmtId="0" fontId="9" fillId="6" borderId="1" xfId="1" applyFont="true" applyFill="true" applyBorder="true">
      <alignment horizontal="left" vertical="center"/>
      <protection locked="false"/>
    </xf>
    <xf numFmtId="0" fontId="9" fillId="6" borderId="1" xfId="1" applyFont="true" applyFill="true" applyBorder="true">
      <alignment horizontal="left" vertical="center" wrapText="true"/>
      <protection locked="false"/>
    </xf>
    <xf numFmtId="0" fontId="10" fillId="7" borderId="5" xfId="1" applyFont="true" applyFill="true" applyBorder="true">
      <alignment horizontal="center" vertical="center" wrapText="true"/>
    </xf>
    <xf numFmtId="0" fontId="10" fillId="7" borderId="3" xfId="1" applyFont="true" applyFill="true" applyBorder="true">
      <alignment horizontal="center" vertical="center"/>
    </xf>
    <xf numFmtId="0" fontId="10" fillId="7" borderId="4" xfId="1" applyFont="true" applyFill="true" applyBorder="true">
      <alignment horizontal="center" vertical="center"/>
    </xf>
    <xf numFmtId="0" fontId="11" fillId="2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  <protection locked="false"/>
    </xf>
    <xf numFmtId="197" fontId="12" fillId="5" borderId="1" xfId="1" applyNumberFormat="true" applyFont="true" applyFill="true" applyBorder="true">
      <alignment horizontal="left" vertical="center"/>
      <protection locked="false"/>
    </xf>
    <xf numFmtId="0" fontId="13" fillId="8" borderId="1" xfId="1" applyFont="true" applyFill="true" applyBorder="true">
      <alignment horizontal="center" vertical="center"/>
      <protection locked="false"/>
    </xf>
    <xf numFmtId="0" fontId="3" fillId="6" borderId="1" xfId="1" applyFont="true" applyFill="true" applyBorder="true">
      <alignment horizontal="left" vertical="center" wrapText="true"/>
      <protection locked="false"/>
    </xf>
    <xf numFmtId="0" fontId="14" fillId="7" borderId="5" xfId="1" applyFont="true" applyFill="true" applyBorder="true">
      <alignment horizontal="center" vertical="center"/>
    </xf>
    <xf numFmtId="0" fontId="15" fillId="7" borderId="3" xfId="1" applyFont="true" applyFill="true" applyBorder="true">
      <alignment horizontal="center" vertical="center"/>
    </xf>
    <xf numFmtId="0" fontId="15" fillId="7" borderId="4" xfId="1" applyFont="true" applyFill="true" applyBorder="true">
      <alignment horizontal="center" vertical="center"/>
    </xf>
    <xf numFmtId="0" fontId="13" fillId="2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  <protection locked="false"/>
    </xf>
    <xf numFmtId="197" fontId="12" fillId="5" borderId="2" xfId="1" applyNumberFormat="true" applyFont="true" applyFill="true" applyBorder="true">
      <alignment horizontal="left" vertical="center" wrapText="true"/>
      <protection locked="false"/>
    </xf>
    <xf numFmtId="197" fontId="4" fillId="5" borderId="2" xfId="1" applyNumberFormat="true" applyFont="true" applyFill="true" applyBorder="true">
      <alignment horizontal="left" vertical="center"/>
      <protection locked="false"/>
    </xf>
    <xf numFmtId="0" fontId="13" fillId="8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 wrapText="true"/>
      <protection locked="false"/>
    </xf>
    <xf numFmtId="0" fontId="5" fillId="7" borderId="2" xfId="1" applyFont="true" applyFill="true" applyBorder="true">
      <alignment horizontal="left" vertical="center"/>
    </xf>
    <xf numFmtId="0" fontId="16" fillId="9" xfId="1" applyFont="true" applyFill="true">
      <alignment vertical="center"/>
    </xf>
    <xf numFmtId="0" fontId="13" fillId="9" borderId="1" xfId="2" applyFont="true" applyFill="true" applyBorder="true">
      <alignment horizontal="left" vertical="center"/>
      <protection locked="false"/>
    </xf>
    <xf numFmtId="0" fontId="3" fillId="9" borderId="1" xfId="2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center" vertical="center"/>
      <protection locked="false"/>
    </xf>
    <xf numFmtId="198" fontId="5" fillId="7" borderId="1" xfId="1" applyNumberFormat="true" applyFont="true" applyFill="true" applyBorder="true">
      <alignment horizontal="center" vertical="center"/>
    </xf>
    <xf numFmtId="0" fontId="13" fillId="2" borderId="1" xfId="2" applyFont="true" applyFill="true" applyBorder="true">
      <alignment horizontal="center" vertical="center"/>
      <protection locked="false"/>
    </xf>
    <xf numFmtId="0" fontId="17" fillId="2" borderId="4" xfId="2" applyFont="true" applyFill="true" applyBorder="true">
      <alignment horizontal="center" vertical="center"/>
    </xf>
    <xf numFmtId="49" fontId="3" fillId="10" borderId="1" xfId="2" applyNumberFormat="true" applyFont="true" applyFill="true" applyBorder="true">
      <alignment horizontal="center" vertical="center"/>
      <protection locked="false"/>
    </xf>
    <xf numFmtId="0" fontId="4" fillId="10" borderId="1" xfId="1" applyFont="true" applyFill="true" applyBorder="true">
      <alignment horizontal="center" vertical="center"/>
    </xf>
    <xf numFmtId="0" fontId="4" fillId="10" borderId="1" xfId="2" applyFont="true" applyFill="true" applyBorder="true">
      <alignment horizontal="center" vertical="center"/>
      <protection locked="false"/>
    </xf>
    <xf numFmtId="0" fontId="18" fillId="10" borderId="1" xfId="1" applyFont="true" applyFill="true" applyBorder="true">
      <alignment horizontal="center" vertical="center"/>
    </xf>
    <xf numFmtId="0" fontId="3" fillId="10" borderId="1" xfId="1" applyFont="true" applyFill="true" applyBorder="true">
      <alignment horizontal="center" vertical="center"/>
    </xf>
    <xf numFmtId="0" fontId="18" fillId="10" borderId="1" xfId="1" applyFont="true" applyFill="true" applyBorder="true">
      <alignment vertical="center"/>
    </xf>
    <xf numFmtId="0" fontId="18" fillId="11" borderId="1" xfId="1" applyFont="true" applyFill="true" applyBorder="true">
      <alignment vertical="center"/>
    </xf>
    <xf numFmtId="0" fontId="3" fillId="11" borderId="1" xfId="1" applyFont="true" applyFill="true" applyBorder="true">
      <alignment horizontal="center" vertical="center"/>
      <protection locked="false"/>
    </xf>
    <xf numFmtId="0" fontId="5" fillId="7" borderId="1" xfId="1" applyFont="true" applyFill="true" applyBorder="true">
      <alignment horizontal="center" vertical="center"/>
    </xf>
    <xf numFmtId="0" fontId="17" fillId="2" borderId="4" xfId="2" applyFont="true" applyFill="true" applyBorder="true">
      <alignment horizontal="center" vertical="center"/>
      <protection locked="false"/>
    </xf>
    <xf numFmtId="0" fontId="18" fillId="11" borderId="1" xfId="1" applyFont="true" applyFill="true" applyBorder="true">
      <alignment horizontal="center" vertical="center"/>
    </xf>
    <xf numFmtId="0" fontId="13" fillId="12" borderId="1" xfId="2" applyFont="true" applyFill="true" applyBorder="true">
      <alignment horizontal="center" vertical="center"/>
      <protection locked="false"/>
    </xf>
    <xf numFmtId="0" fontId="17" fillId="12" borderId="4" xfId="2" applyFont="true" applyFill="true" applyBorder="true">
      <alignment horizontal="center" vertical="center"/>
    </xf>
    <xf numFmtId="49" fontId="3" fillId="12" borderId="1" xfId="2" applyNumberFormat="true" applyFont="true" applyFill="true" applyBorder="true">
      <alignment horizontal="center" vertical="center"/>
      <protection locked="false"/>
    </xf>
    <xf numFmtId="0" fontId="4" fillId="12" borderId="1" xfId="1" applyFont="true" applyFill="true" applyBorder="true">
      <alignment horizontal="center" vertical="center"/>
    </xf>
    <xf numFmtId="0" fontId="4" fillId="12" borderId="1" xfId="2" applyFont="true" applyFill="true" applyBorder="true">
      <alignment horizontal="center" vertical="center"/>
      <protection locked="false"/>
    </xf>
    <xf numFmtId="0" fontId="18" fillId="12" borderId="1" xfId="1" applyFont="true" applyFill="true" applyBorder="true">
      <alignment horizontal="center" vertical="center"/>
    </xf>
    <xf numFmtId="0" fontId="3" fillId="12" borderId="1" xfId="1" applyFont="true" applyFill="true" applyBorder="true">
      <alignment horizontal="center" vertical="center"/>
    </xf>
    <xf numFmtId="0" fontId="6" fillId="13" xfId="1" applyFont="true" applyFill="true">
      <alignment horizontal="center" vertical="center"/>
    </xf>
    <xf numFmtId="0" fontId="13" fillId="13" borderId="1" xfId="2" applyFont="true" applyFill="true" applyBorder="true">
      <alignment horizontal="center" vertical="center"/>
      <protection locked="false"/>
    </xf>
    <xf numFmtId="0" fontId="3" fillId="13" borderId="1" xfId="2" applyFont="true" applyFill="true" applyBorder="true">
      <alignment horizontal="center" vertical="center"/>
      <protection locked="false"/>
    </xf>
    <xf numFmtId="0" fontId="3" fillId="13" borderId="1" xfId="1" applyFont="true" applyFill="true" applyBorder="true">
      <alignment horizontal="center" vertical="center"/>
      <protection locked="false"/>
    </xf>
    <xf numFmtId="0" fontId="3" fillId="10" borderId="1" xfId="2" applyFont="true" applyFill="true" applyBorder="true">
      <alignment horizontal="center" vertical="center"/>
      <protection locked="false"/>
    </xf>
    <xf numFmtId="0" fontId="3" fillId="10" borderId="1" xfId="1" applyFont="true" applyFill="true" applyBorder="true">
      <alignment horizontal="center" vertical="center"/>
      <protection locked="false"/>
    </xf>
    <xf numFmtId="0" fontId="3" fillId="11" borderId="1" xfId="1" applyFont="true" applyFill="true" applyBorder="true">
      <alignment horizontal="center" vertical="center" wrapText="true"/>
    </xf>
    <xf numFmtId="0" fontId="4" fillId="11" borderId="1" xfId="1" applyFont="true" applyFill="true" applyBorder="true">
      <alignment horizontal="center" vertical="center"/>
    </xf>
    <xf numFmtId="0" fontId="12" fillId="2" borderId="1" xfId="1" applyFont="true" applyFill="true" applyBorder="true">
      <alignment horizontal="center" vertical="center"/>
    </xf>
    <xf numFmtId="0" fontId="18" fillId="2" borderId="1" xfId="1" applyFont="true" applyFill="true" applyBorder="true">
      <alignment horizontal="center" vertical="center"/>
    </xf>
    <xf numFmtId="0" fontId="6" fillId="7" xfId="1" applyFont="true" applyFill="true">
      <alignment vertical="center"/>
    </xf>
    <xf numFmtId="0" fontId="18" fillId="2" xfId="1" applyFont="true" applyFill="true">
      <alignment horizontal="center" vertical="center"/>
    </xf>
    <xf numFmtId="0" fontId="18" fillId="10" xfId="1" applyFont="true" applyFill="true">
      <alignment horizontal="center" vertical="center"/>
    </xf>
    <xf numFmtId="0" fontId="18" fillId="10" xfId="1" applyFont="true" applyFill="true">
      <alignment vertical="center"/>
    </xf>
    <xf numFmtId="0" fontId="18" fillId="11" xfId="1" applyFont="true" applyFill="true">
      <alignment vertical="center"/>
    </xf>
    <xf numFmtId="0" fontId="19" fillId="7" xfId="1" applyFont="true" applyFill="true">
      <alignment vertical="center"/>
    </xf>
    <xf numFmtId="0" fontId="18" xfId="1" applyFont="true">
      <alignment vertical="center"/>
    </xf>
    <xf numFmtId="0" fontId="18" fillId="9" xfId="1" applyFont="true" applyFill="true">
      <alignment vertical="center"/>
    </xf>
    <xf numFmtId="0" fontId="18" xfId="1" applyFont="true">
      <alignment horizontal="center" vertical="center"/>
    </xf>
  </cellXfs>
  <cellStyles count="3">
    <cellStyle name="Normal" xfId="0" builtinId="0"/>
    <cellStyle name="표준" xfId="1"/>
    <cellStyle name="표준 2 10 10" xfId="2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60" topLeftCell="A1" workbookViewId="0" showGridLines="true" showRowColHeaders="true" view="normal">
      <selection activeCell="C13" sqref="C13:C13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3" t="s">
        <v>0</v>
      </c>
      <c r="C2" s="6"/>
    </row>
    <row r="3" ht="5.25" customHeight="true">
      <c r="B3" s="4"/>
    </row>
    <row r="4">
      <c r="B4" s="5" t="n">
        <v>1</v>
      </c>
      <c r="C4" s="7" t="s">
        <v>1</v>
      </c>
    </row>
    <row r="5">
      <c r="B5" s="5" t="n">
        <v>2</v>
      </c>
      <c r="C5" s="7" t="s">
        <v>2</v>
      </c>
    </row>
    <row r="6">
      <c r="B6" s="5" t="n">
        <v>3</v>
      </c>
      <c r="C6" s="7" t="s">
        <v>3</v>
      </c>
    </row>
    <row r="7">
      <c r="B7" s="5" t="n">
        <v>4</v>
      </c>
      <c r="C7" s="7" t="s">
        <v>4</v>
      </c>
    </row>
    <row r="8">
      <c r="B8" s="5" t="n">
        <v>5</v>
      </c>
      <c r="C8" s="7" t="s">
        <v>5</v>
      </c>
    </row>
    <row r="9" ht="33" customHeight="true">
      <c r="B9" s="5" t="n">
        <v>6</v>
      </c>
      <c r="C9" s="8" t="s">
        <v>6</v>
      </c>
    </row>
    <row r="10">
      <c r="B10" s="5" t="n">
        <v>7</v>
      </c>
      <c r="C10" s="7" t="s">
        <v>7</v>
      </c>
    </row>
    <row r="11">
      <c r="B11" s="5" t="n">
        <v>8</v>
      </c>
      <c r="C11" s="7" t="s">
        <v>8</v>
      </c>
    </row>
    <row r="12">
      <c r="C12" s="9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IU29"/>
  <sheetViews>
    <sheetView zoomScale="85" topLeftCell="A1" workbookViewId="0" showGridLines="true" showRowColHeaders="true" view="normal">
      <pane xSplit="4" ySplit="13" topLeftCell="AP14" activePane="bottomRight" state="frozen"/>
      <selection activeCell="AR16" sqref="AR16:AR16" pane="bottomRight"/>
    </sheetView>
  </sheetViews>
  <sheetFormatPr customHeight="false" defaultColWidth="8.8515625" defaultRowHeight="16.5"/>
  <cols>
    <col min="1" max="1" bestFit="false" customWidth="true" style="86" width="3.28125" hidden="false" outlineLevel="0"/>
    <col min="2" max="2" bestFit="false" customWidth="true" style="86" width="16.7109375" hidden="false" outlineLevel="0"/>
    <col min="3" max="3" bestFit="false" customWidth="true" style="86" width="23.7109375" hidden="false" outlineLevel="0"/>
    <col min="4" max="4" bestFit="false" customWidth="true" style="86" width="61.57421875" hidden="false" outlineLevel="0"/>
    <col min="5" max="5" bestFit="false" customWidth="true" style="87" width="11.57421875" hidden="false" outlineLevel="0"/>
    <col min="6" max="45" bestFit="false" customWidth="true" style="86" width="12.140625" hidden="false" outlineLevel="0"/>
    <col min="46" max="55" bestFit="false" customWidth="true" style="88" width="10.28125" hidden="false" outlineLevel="0"/>
    <col min="56" max="255" bestFit="false" customWidth="true" style="86" width="12.140625" hidden="false" outlineLevel="0"/>
    <col min="256" max="16384" bestFit="false" style="86" width="9.28125" hidden="false" outlineLevel="0"/>
  </cols>
  <sheetData>
    <row r="1" ht="19.5" s="80" customFormat="true" customHeight="true">
      <c r="B1" s="16" t="s">
        <v>9</v>
      </c>
      <c r="C1" s="16" t="s">
        <v>24</v>
      </c>
      <c r="D1" s="16" t="s">
        <v>50</v>
      </c>
      <c r="E1" s="44" t="s">
        <v>77</v>
      </c>
      <c r="AT1" s="70"/>
      <c r="AU1" s="16"/>
      <c r="AV1" s="16"/>
      <c r="AW1" s="16"/>
      <c r="AX1" s="16"/>
      <c r="AY1" s="16"/>
      <c r="AZ1" s="16"/>
      <c r="BA1" s="16"/>
      <c r="BB1" s="16"/>
      <c r="BC1" s="16"/>
    </row>
    <row r="2" s="81" customFormat="true">
      <c r="A2" s="10"/>
      <c r="B2" s="17" t="s">
        <v>10</v>
      </c>
      <c r="C2" s="26" t="s">
        <v>25</v>
      </c>
      <c r="D2" s="35" t="s">
        <v>51</v>
      </c>
      <c r="E2" s="45" t="s">
        <v>78</v>
      </c>
      <c r="F2" s="50" t="s">
        <v>86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63"/>
      <c r="AA2" s="50"/>
      <c r="AB2" s="50"/>
      <c r="AC2" s="50"/>
      <c r="AD2" s="50"/>
      <c r="AE2" s="50"/>
      <c r="AF2" s="50"/>
      <c r="AG2" s="50"/>
      <c r="AH2" s="50"/>
      <c r="AI2" s="50"/>
      <c r="AJ2" s="63"/>
      <c r="AK2" s="50"/>
      <c r="AL2" s="50"/>
      <c r="AM2" s="50"/>
      <c r="AN2" s="50"/>
      <c r="AO2" s="50"/>
      <c r="AP2" s="50"/>
      <c r="AQ2" s="50"/>
      <c r="AR2" s="50"/>
      <c r="AS2" s="50"/>
      <c r="AT2" s="71"/>
      <c r="AU2" s="50"/>
      <c r="AV2" s="50"/>
      <c r="AW2" s="50"/>
      <c r="AX2" s="50"/>
      <c r="AY2" s="78"/>
      <c r="AZ2" s="78"/>
      <c r="BA2" s="78"/>
      <c r="BB2" s="78"/>
      <c r="BC2" s="78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</row>
    <row r="3" ht="16.5" s="81" customFormat="true" customHeight="true">
      <c r="A3" s="10"/>
      <c r="B3" s="17"/>
      <c r="C3" s="26" t="s">
        <v>26</v>
      </c>
      <c r="D3" s="35" t="s">
        <v>52</v>
      </c>
      <c r="E3" s="45" t="s">
        <v>79</v>
      </c>
      <c r="F3" s="51" t="s">
        <v>87</v>
      </c>
      <c r="G3" s="51"/>
      <c r="H3" s="51"/>
      <c r="I3" s="61"/>
      <c r="J3" s="61"/>
      <c r="K3" s="51"/>
      <c r="L3" s="51"/>
      <c r="M3" s="51"/>
      <c r="N3" s="61"/>
      <c r="O3" s="61"/>
      <c r="P3" s="51"/>
      <c r="Q3" s="51"/>
      <c r="R3" s="51"/>
      <c r="S3" s="61"/>
      <c r="T3" s="61"/>
      <c r="U3" s="51"/>
      <c r="V3" s="51"/>
      <c r="W3" s="51"/>
      <c r="X3" s="61"/>
      <c r="Y3" s="61"/>
      <c r="Z3" s="64"/>
      <c r="AA3" s="51"/>
      <c r="AB3" s="51"/>
      <c r="AC3" s="61"/>
      <c r="AD3" s="61"/>
      <c r="AE3" s="51"/>
      <c r="AF3" s="51"/>
      <c r="AG3" s="51"/>
      <c r="AH3" s="61"/>
      <c r="AI3" s="61"/>
      <c r="AJ3" s="64"/>
      <c r="AK3" s="51"/>
      <c r="AL3" s="51"/>
      <c r="AM3" s="61"/>
      <c r="AN3" s="61"/>
      <c r="AO3" s="51"/>
      <c r="AP3" s="51"/>
      <c r="AQ3" s="51"/>
      <c r="AR3" s="61"/>
      <c r="AS3" s="61"/>
      <c r="AT3" s="71"/>
      <c r="AU3" s="50"/>
      <c r="AV3" s="50"/>
      <c r="AW3" s="50"/>
      <c r="AX3" s="61"/>
      <c r="AY3" s="78"/>
      <c r="AZ3" s="78"/>
      <c r="BA3" s="78"/>
      <c r="BB3" s="78"/>
      <c r="BC3" s="78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</row>
    <row r="4" s="81" customFormat="true">
      <c r="A4" s="10"/>
      <c r="B4" s="17"/>
      <c r="C4" s="26" t="s">
        <v>27</v>
      </c>
      <c r="D4" s="35" t="s">
        <v>53</v>
      </c>
      <c r="E4" s="45" t="n">
        <v>20230520</v>
      </c>
      <c r="F4" s="50" t="n">
        <v>20260514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63"/>
      <c r="AA4" s="50"/>
      <c r="AB4" s="50"/>
      <c r="AC4" s="50"/>
      <c r="AD4" s="50"/>
      <c r="AE4" s="50"/>
      <c r="AF4" s="50"/>
      <c r="AG4" s="50"/>
      <c r="AH4" s="50"/>
      <c r="AI4" s="50"/>
      <c r="AJ4" s="63"/>
      <c r="AK4" s="50"/>
      <c r="AL4" s="50"/>
      <c r="AM4" s="50"/>
      <c r="AN4" s="50"/>
      <c r="AO4" s="50"/>
      <c r="AP4" s="50"/>
      <c r="AQ4" s="50"/>
      <c r="AR4" s="50"/>
      <c r="AS4" s="50"/>
      <c r="AT4" s="71"/>
      <c r="AU4" s="50"/>
      <c r="AV4" s="50"/>
      <c r="AW4" s="50"/>
      <c r="AX4" s="50"/>
      <c r="AY4" s="50"/>
      <c r="AZ4" s="50"/>
      <c r="BA4" s="50"/>
      <c r="BB4" s="50"/>
      <c r="BC4" s="50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</row>
    <row r="5" s="82" customFormat="true">
      <c r="A5" s="11"/>
      <c r="B5" s="17"/>
      <c r="C5" s="27" t="s">
        <v>28</v>
      </c>
      <c r="D5" s="36" t="s">
        <v>54</v>
      </c>
      <c r="E5" s="46" t="s">
        <v>80</v>
      </c>
      <c r="F5" s="52" t="s">
        <v>88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65"/>
      <c r="AA5" s="52"/>
      <c r="AB5" s="52"/>
      <c r="AC5" s="52"/>
      <c r="AD5" s="52"/>
      <c r="AE5" s="52"/>
      <c r="AF5" s="52"/>
      <c r="AG5" s="52"/>
      <c r="AH5" s="52"/>
      <c r="AI5" s="52"/>
      <c r="AJ5" s="65"/>
      <c r="AK5" s="52"/>
      <c r="AL5" s="52"/>
      <c r="AM5" s="52"/>
      <c r="AN5" s="52"/>
      <c r="AO5" s="52"/>
      <c r="AP5" s="52"/>
      <c r="AQ5" s="52"/>
      <c r="AR5" s="52"/>
      <c r="AS5" s="52"/>
      <c r="AT5" s="72"/>
      <c r="AU5" s="74"/>
      <c r="AV5" s="74"/>
      <c r="AW5" s="74"/>
      <c r="AX5" s="74"/>
      <c r="AY5" s="53"/>
      <c r="AZ5" s="53"/>
      <c r="BA5" s="53"/>
      <c r="BB5" s="53"/>
      <c r="BC5" s="53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</row>
    <row r="6" s="82" customFormat="true">
      <c r="A6" s="11"/>
      <c r="B6" s="17"/>
      <c r="C6" s="27" t="s">
        <v>29</v>
      </c>
      <c r="D6" s="36"/>
      <c r="E6" s="46" t="s">
        <v>81</v>
      </c>
      <c r="F6" s="52" t="s">
        <v>89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65"/>
      <c r="AA6" s="52"/>
      <c r="AB6" s="52"/>
      <c r="AC6" s="52"/>
      <c r="AD6" s="52"/>
      <c r="AE6" s="52"/>
      <c r="AF6" s="52"/>
      <c r="AG6" s="52"/>
      <c r="AH6" s="52"/>
      <c r="AI6" s="52"/>
      <c r="AJ6" s="65"/>
      <c r="AK6" s="52"/>
      <c r="AL6" s="52"/>
      <c r="AM6" s="52"/>
      <c r="AN6" s="52"/>
      <c r="AO6" s="52"/>
      <c r="AP6" s="52"/>
      <c r="AQ6" s="52"/>
      <c r="AR6" s="52"/>
      <c r="AS6" s="52"/>
      <c r="AT6" s="72"/>
      <c r="AU6" s="74"/>
      <c r="AV6" s="74"/>
      <c r="AW6" s="74"/>
      <c r="AX6" s="74"/>
      <c r="AY6" s="53"/>
      <c r="AZ6" s="53"/>
      <c r="BA6" s="53"/>
      <c r="BB6" s="53"/>
      <c r="BC6" s="53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</row>
    <row r="7" s="82" customFormat="true">
      <c r="A7" s="11"/>
      <c r="B7" s="17"/>
      <c r="C7" s="27" t="s">
        <v>30</v>
      </c>
      <c r="D7" s="36"/>
      <c r="E7" s="46" t="s">
        <v>82</v>
      </c>
      <c r="F7" s="52" t="s">
        <v>90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65"/>
      <c r="AA7" s="52"/>
      <c r="AB7" s="52"/>
      <c r="AC7" s="52"/>
      <c r="AD7" s="52"/>
      <c r="AE7" s="52"/>
      <c r="AF7" s="52"/>
      <c r="AG7" s="52"/>
      <c r="AH7" s="52"/>
      <c r="AI7" s="52"/>
      <c r="AJ7" s="65"/>
      <c r="AK7" s="52"/>
      <c r="AL7" s="52"/>
      <c r="AM7" s="52"/>
      <c r="AN7" s="52"/>
      <c r="AO7" s="52"/>
      <c r="AP7" s="52"/>
      <c r="AQ7" s="52"/>
      <c r="AR7" s="52"/>
      <c r="AS7" s="52"/>
      <c r="AT7" s="72"/>
      <c r="AU7" s="74"/>
      <c r="AV7" s="74"/>
      <c r="AW7" s="74"/>
      <c r="AX7" s="74"/>
      <c r="AY7" s="53"/>
      <c r="AZ7" s="53"/>
      <c r="BA7" s="53"/>
      <c r="BB7" s="53"/>
      <c r="BC7" s="53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</row>
    <row r="8" s="82" customFormat="true">
      <c r="A8" s="12"/>
      <c r="B8" s="17"/>
      <c r="C8" s="27" t="s">
        <v>31</v>
      </c>
      <c r="D8" s="36" t="s">
        <v>55</v>
      </c>
      <c r="E8" s="46" t="s">
        <v>83</v>
      </c>
      <c r="F8" s="53" t="s">
        <v>91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66"/>
      <c r="AA8" s="53"/>
      <c r="AB8" s="53"/>
      <c r="AC8" s="53"/>
      <c r="AD8" s="53"/>
      <c r="AE8" s="53"/>
      <c r="AF8" s="53"/>
      <c r="AG8" s="53"/>
      <c r="AH8" s="53"/>
      <c r="AI8" s="53"/>
      <c r="AJ8" s="66"/>
      <c r="AK8" s="53"/>
      <c r="AL8" s="53"/>
      <c r="AM8" s="53"/>
      <c r="AN8" s="53"/>
      <c r="AO8" s="53"/>
      <c r="AP8" s="53"/>
      <c r="AQ8" s="53"/>
      <c r="AR8" s="53"/>
      <c r="AS8" s="53"/>
      <c r="AT8" s="72"/>
      <c r="AU8" s="74"/>
      <c r="AV8" s="74"/>
      <c r="AW8" s="74"/>
      <c r="AX8" s="74"/>
      <c r="AY8" s="53"/>
      <c r="AZ8" s="53"/>
      <c r="BA8" s="53"/>
      <c r="BB8" s="53"/>
      <c r="BC8" s="53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</row>
    <row r="9" s="82" customFormat="true">
      <c r="A9" s="12"/>
      <c r="B9" s="17"/>
      <c r="C9" s="28" t="s">
        <v>32</v>
      </c>
      <c r="D9" s="37" t="s">
        <v>56</v>
      </c>
      <c r="E9" s="46" t="n">
        <v>37.2122527</v>
      </c>
      <c r="F9" s="54" t="n">
        <v>36.763081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67"/>
      <c r="AA9" s="54"/>
      <c r="AB9" s="54"/>
      <c r="AC9" s="54"/>
      <c r="AD9" s="54"/>
      <c r="AE9" s="54"/>
      <c r="AF9" s="54"/>
      <c r="AG9" s="54"/>
      <c r="AH9" s="54"/>
      <c r="AI9" s="54"/>
      <c r="AJ9" s="67"/>
      <c r="AK9" s="54"/>
      <c r="AL9" s="54"/>
      <c r="AM9" s="54"/>
      <c r="AN9" s="54"/>
      <c r="AO9" s="54"/>
      <c r="AP9" s="54"/>
      <c r="AQ9" s="54"/>
      <c r="AR9" s="54"/>
      <c r="AS9" s="54"/>
      <c r="AT9" s="72"/>
      <c r="AU9" s="74"/>
      <c r="AV9" s="74"/>
      <c r="AW9" s="74"/>
      <c r="AX9" s="74"/>
      <c r="AY9" s="53"/>
      <c r="AZ9" s="53"/>
      <c r="BA9" s="53"/>
      <c r="BB9" s="53"/>
      <c r="BC9" s="53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</row>
    <row r="10" s="82" customFormat="true">
      <c r="A10" s="11"/>
      <c r="B10" s="17"/>
      <c r="C10" s="28" t="s">
        <v>33</v>
      </c>
      <c r="D10" s="37" t="s">
        <v>57</v>
      </c>
      <c r="E10" s="46" t="n">
        <v>127.0715531</v>
      </c>
      <c r="F10" s="54" t="n">
        <v>127.090606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67"/>
      <c r="AA10" s="54"/>
      <c r="AB10" s="54"/>
      <c r="AC10" s="54"/>
      <c r="AD10" s="54"/>
      <c r="AE10" s="54"/>
      <c r="AF10" s="54"/>
      <c r="AG10" s="54"/>
      <c r="AH10" s="54"/>
      <c r="AI10" s="54"/>
      <c r="AJ10" s="67"/>
      <c r="AK10" s="54"/>
      <c r="AL10" s="54"/>
      <c r="AM10" s="54"/>
      <c r="AN10" s="54"/>
      <c r="AO10" s="54"/>
      <c r="AP10" s="54"/>
      <c r="AQ10" s="54"/>
      <c r="AR10" s="54"/>
      <c r="AS10" s="54"/>
      <c r="AT10" s="72"/>
      <c r="AU10" s="74"/>
      <c r="AV10" s="74"/>
      <c r="AW10" s="74"/>
      <c r="AX10" s="74"/>
      <c r="AY10" s="53"/>
      <c r="AZ10" s="53"/>
      <c r="BA10" s="53"/>
      <c r="BB10" s="53"/>
      <c r="BC10" s="53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</row>
    <row r="11" s="82" customFormat="true">
      <c r="A11" s="11"/>
      <c r="B11" s="17"/>
      <c r="C11" s="27" t="s">
        <v>34</v>
      </c>
      <c r="D11" s="36" t="s">
        <v>58</v>
      </c>
      <c r="E11" s="46" t="n">
        <v>1</v>
      </c>
      <c r="F11" s="55" t="s">
        <v>92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68"/>
      <c r="AA11" s="55"/>
      <c r="AB11" s="55"/>
      <c r="AC11" s="55"/>
      <c r="AD11" s="55"/>
      <c r="AE11" s="55"/>
      <c r="AF11" s="55"/>
      <c r="AG11" s="55"/>
      <c r="AH11" s="55"/>
      <c r="AI11" s="55"/>
      <c r="AJ11" s="68"/>
      <c r="AK11" s="55"/>
      <c r="AL11" s="55"/>
      <c r="AM11" s="55"/>
      <c r="AN11" s="55"/>
      <c r="AO11" s="55"/>
      <c r="AP11" s="55"/>
      <c r="AQ11" s="55"/>
      <c r="AR11" s="55"/>
      <c r="AS11" s="55"/>
      <c r="AT11" s="72"/>
      <c r="AU11" s="74"/>
      <c r="AV11" s="74"/>
      <c r="AW11" s="74"/>
      <c r="AX11" s="74"/>
      <c r="AY11" s="53"/>
      <c r="AZ11" s="53"/>
      <c r="BA11" s="53"/>
      <c r="BB11" s="53"/>
      <c r="BC11" s="53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</row>
    <row r="12" s="82" customFormat="true">
      <c r="A12" s="11"/>
      <c r="B12" s="17"/>
      <c r="C12" s="27" t="s">
        <v>35</v>
      </c>
      <c r="D12" s="36" t="s">
        <v>59</v>
      </c>
      <c r="E12" s="46" t="s">
        <v>84</v>
      </c>
      <c r="F12" s="56" t="s">
        <v>93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69"/>
      <c r="AA12" s="56"/>
      <c r="AB12" s="56"/>
      <c r="AC12" s="56"/>
      <c r="AD12" s="56"/>
      <c r="AE12" s="56"/>
      <c r="AF12" s="56"/>
      <c r="AG12" s="56"/>
      <c r="AH12" s="56"/>
      <c r="AI12" s="56"/>
      <c r="AJ12" s="69"/>
      <c r="AK12" s="56"/>
      <c r="AL12" s="56"/>
      <c r="AM12" s="56"/>
      <c r="AN12" s="56"/>
      <c r="AO12" s="56"/>
      <c r="AP12" s="56"/>
      <c r="AQ12" s="56"/>
      <c r="AR12" s="56"/>
      <c r="AS12" s="56"/>
      <c r="AT12" s="72"/>
      <c r="AU12" s="74"/>
      <c r="AV12" s="74"/>
      <c r="AW12" s="74"/>
      <c r="AX12" s="74"/>
      <c r="AY12" s="74"/>
      <c r="AZ12" s="74"/>
      <c r="BA12" s="74"/>
      <c r="BB12" s="74"/>
      <c r="BC12" s="74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</row>
    <row r="13" s="82" customFormat="true">
      <c r="A13" s="11"/>
      <c r="B13" s="18"/>
      <c r="C13" s="27" t="s">
        <v>36</v>
      </c>
      <c r="D13" s="36" t="s">
        <v>60</v>
      </c>
      <c r="E13" s="46" t="s">
        <v>85</v>
      </c>
      <c r="F13" s="56" t="s">
        <v>94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69"/>
      <c r="AA13" s="56"/>
      <c r="AB13" s="56"/>
      <c r="AC13" s="56"/>
      <c r="AD13" s="56"/>
      <c r="AE13" s="56"/>
      <c r="AF13" s="56"/>
      <c r="AG13" s="56"/>
      <c r="AH13" s="56"/>
      <c r="AI13" s="56"/>
      <c r="AJ13" s="69"/>
      <c r="AK13" s="56"/>
      <c r="AL13" s="56"/>
      <c r="AM13" s="56"/>
      <c r="AN13" s="56"/>
      <c r="AO13" s="56"/>
      <c r="AP13" s="56"/>
      <c r="AQ13" s="56"/>
      <c r="AR13" s="56"/>
      <c r="AS13" s="56"/>
      <c r="AT13" s="72"/>
      <c r="AU13" s="74"/>
      <c r="AV13" s="74"/>
      <c r="AW13" s="74"/>
      <c r="AX13" s="74"/>
      <c r="AY13" s="74"/>
      <c r="AZ13" s="74"/>
      <c r="BA13" s="74"/>
      <c r="BB13" s="74"/>
      <c r="BC13" s="74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</row>
    <row r="14" ht="33" s="83" customFormat="true" customHeight="true">
      <c r="A14" s="13"/>
      <c r="B14" s="19" t="s">
        <v>11</v>
      </c>
      <c r="C14" s="29" t="s">
        <v>37</v>
      </c>
      <c r="D14" s="38" t="s">
        <v>61</v>
      </c>
      <c r="E14" s="4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73"/>
      <c r="AU14" s="75"/>
      <c r="AV14" s="75"/>
      <c r="AW14" s="75"/>
      <c r="AX14" s="55"/>
      <c r="AY14" s="55"/>
      <c r="AZ14" s="55"/>
      <c r="BA14" s="55"/>
      <c r="BB14" s="55"/>
      <c r="BC14" s="55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</row>
    <row r="15" s="83" customFormat="true">
      <c r="A15" s="13"/>
      <c r="B15" s="13"/>
      <c r="C15" s="13"/>
      <c r="D15" s="39" t="s">
        <v>62</v>
      </c>
      <c r="E15" s="47"/>
      <c r="F15" s="57" t="s">
        <v>95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73"/>
      <c r="AU15" s="75"/>
      <c r="AV15" s="75"/>
      <c r="AW15" s="75"/>
      <c r="AX15" s="55"/>
      <c r="AY15" s="55"/>
      <c r="AZ15" s="55"/>
      <c r="BA15" s="55"/>
      <c r="BB15" s="55"/>
      <c r="BC15" s="55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</row>
    <row r="16" s="84" customFormat="true">
      <c r="A16" s="14"/>
      <c r="B16" s="20" t="s">
        <v>12</v>
      </c>
      <c r="C16" s="30" t="s">
        <v>38</v>
      </c>
      <c r="D16" s="40" t="s">
        <v>63</v>
      </c>
      <c r="E16" s="47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9"/>
      <c r="AU16" s="59"/>
      <c r="AV16" s="59"/>
      <c r="AW16" s="59"/>
      <c r="AX16" s="62"/>
      <c r="AY16" s="62"/>
      <c r="AZ16" s="62"/>
      <c r="BA16" s="62"/>
      <c r="BB16" s="62"/>
      <c r="BC16" s="62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</row>
    <row r="17" ht="24" s="84" customFormat="true" customHeight="true">
      <c r="A17" s="14" t="n">
        <v>1</v>
      </c>
      <c r="B17" s="21" t="s">
        <v>13</v>
      </c>
      <c r="C17" s="31" t="s">
        <v>39</v>
      </c>
      <c r="D17" s="41" t="s">
        <v>64</v>
      </c>
      <c r="E17" s="48" t="n">
        <v>5</v>
      </c>
      <c r="F17" s="59" t="n">
        <v>0</v>
      </c>
      <c r="G17" s="59"/>
      <c r="H17" s="59"/>
      <c r="I17" s="59"/>
      <c r="J17" s="59"/>
      <c r="K17" s="62"/>
      <c r="L17" s="62"/>
      <c r="M17" s="62"/>
      <c r="N17" s="62"/>
      <c r="O17" s="62"/>
      <c r="P17" s="59"/>
      <c r="Q17" s="59"/>
      <c r="R17" s="59"/>
      <c r="S17" s="59"/>
      <c r="T17" s="59"/>
      <c r="U17" s="62"/>
      <c r="V17" s="62"/>
      <c r="W17" s="62"/>
      <c r="X17" s="62"/>
      <c r="Y17" s="62"/>
      <c r="Z17" s="59"/>
      <c r="AA17" s="59"/>
      <c r="AB17" s="59"/>
      <c r="AC17" s="59"/>
      <c r="AD17" s="59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62"/>
      <c r="AP17" s="62"/>
      <c r="AQ17" s="62"/>
      <c r="AR17" s="62"/>
      <c r="AS17" s="62"/>
      <c r="AT17" s="59"/>
      <c r="AU17" s="59"/>
      <c r="AV17" s="76"/>
      <c r="AW17" s="76"/>
      <c r="AX17" s="77"/>
      <c r="AY17" s="77"/>
      <c r="AZ17" s="77"/>
      <c r="BA17" s="77"/>
      <c r="BB17" s="77"/>
      <c r="BC17" s="77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</row>
    <row r="18" ht="42" s="84" customFormat="true" customHeight="true">
      <c r="A18" s="14" t="n">
        <v>2</v>
      </c>
      <c r="B18" s="22" t="s">
        <v>14</v>
      </c>
      <c r="C18" s="14" t="s">
        <v>40</v>
      </c>
      <c r="D18" s="42" t="s">
        <v>65</v>
      </c>
      <c r="E18" s="48" t="n">
        <v>15</v>
      </c>
      <c r="F18" s="59" t="n">
        <v>0</v>
      </c>
      <c r="G18" s="59"/>
      <c r="H18" s="59"/>
      <c r="I18" s="59"/>
      <c r="J18" s="59"/>
      <c r="K18" s="62"/>
      <c r="L18" s="62"/>
      <c r="M18" s="62"/>
      <c r="N18" s="62"/>
      <c r="O18" s="62"/>
      <c r="P18" s="59"/>
      <c r="Q18" s="59"/>
      <c r="R18" s="59"/>
      <c r="S18" s="59"/>
      <c r="T18" s="59"/>
      <c r="U18" s="62"/>
      <c r="V18" s="62"/>
      <c r="W18" s="62"/>
      <c r="X18" s="62"/>
      <c r="Y18" s="62"/>
      <c r="Z18" s="59"/>
      <c r="AA18" s="59"/>
      <c r="AB18" s="59"/>
      <c r="AC18" s="59"/>
      <c r="AD18" s="59"/>
      <c r="AE18" s="62"/>
      <c r="AF18" s="62"/>
      <c r="AG18" s="62"/>
      <c r="AH18" s="62"/>
      <c r="AI18" s="62"/>
      <c r="AJ18" s="59"/>
      <c r="AK18" s="59"/>
      <c r="AL18" s="59"/>
      <c r="AM18" s="59"/>
      <c r="AN18" s="59"/>
      <c r="AO18" s="62"/>
      <c r="AP18" s="62"/>
      <c r="AQ18" s="62"/>
      <c r="AR18" s="62"/>
      <c r="AS18" s="62"/>
      <c r="AT18" s="59"/>
      <c r="AU18" s="59"/>
      <c r="AV18" s="76"/>
      <c r="AW18" s="76"/>
      <c r="AX18" s="77"/>
      <c r="AY18" s="77"/>
      <c r="AZ18" s="77"/>
      <c r="BA18" s="77"/>
      <c r="BB18" s="77"/>
      <c r="BC18" s="77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</row>
    <row r="19" ht="30" s="84" customFormat="true" customHeight="true">
      <c r="A19" s="14" t="n">
        <v>3</v>
      </c>
      <c r="B19" s="21" t="s">
        <v>15</v>
      </c>
      <c r="C19" s="14" t="s">
        <v>41</v>
      </c>
      <c r="D19" s="42" t="s">
        <v>66</v>
      </c>
      <c r="E19" s="48" t="n">
        <v>25</v>
      </c>
      <c r="F19" s="59" t="n">
        <v>0</v>
      </c>
      <c r="G19" s="59"/>
      <c r="H19" s="59"/>
      <c r="I19" s="59"/>
      <c r="J19" s="59"/>
      <c r="K19" s="62"/>
      <c r="L19" s="62"/>
      <c r="M19" s="62"/>
      <c r="N19" s="62"/>
      <c r="O19" s="62"/>
      <c r="P19" s="59"/>
      <c r="Q19" s="59"/>
      <c r="R19" s="59"/>
      <c r="S19" s="59"/>
      <c r="T19" s="59"/>
      <c r="U19" s="62"/>
      <c r="V19" s="62"/>
      <c r="W19" s="62"/>
      <c r="X19" s="62"/>
      <c r="Y19" s="62"/>
      <c r="Z19" s="59"/>
      <c r="AA19" s="59"/>
      <c r="AB19" s="59"/>
      <c r="AC19" s="59"/>
      <c r="AD19" s="59"/>
      <c r="AE19" s="62"/>
      <c r="AF19" s="62"/>
      <c r="AG19" s="62"/>
      <c r="AH19" s="62"/>
      <c r="AI19" s="62"/>
      <c r="AJ19" s="59"/>
      <c r="AK19" s="59"/>
      <c r="AL19" s="59"/>
      <c r="AM19" s="59"/>
      <c r="AN19" s="59"/>
      <c r="AO19" s="62"/>
      <c r="AP19" s="62"/>
      <c r="AQ19" s="62"/>
      <c r="AR19" s="62"/>
      <c r="AS19" s="62"/>
      <c r="AT19" s="59"/>
      <c r="AU19" s="59"/>
      <c r="AV19" s="76"/>
      <c r="AW19" s="76"/>
      <c r="AX19" s="77"/>
      <c r="AY19" s="77"/>
      <c r="AZ19" s="77"/>
      <c r="BA19" s="77"/>
      <c r="BB19" s="77"/>
      <c r="BC19" s="77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</row>
    <row r="20" ht="24" s="84" customFormat="true" customHeight="true">
      <c r="A20" s="14" t="n">
        <v>4</v>
      </c>
      <c r="B20" s="21" t="s">
        <v>16</v>
      </c>
      <c r="C20" s="31" t="s">
        <v>42</v>
      </c>
      <c r="D20" s="41" t="s">
        <v>67</v>
      </c>
      <c r="E20" s="48" t="n">
        <v>10</v>
      </c>
      <c r="F20" s="59" t="n">
        <v>0</v>
      </c>
      <c r="G20" s="59"/>
      <c r="H20" s="59"/>
      <c r="I20" s="59"/>
      <c r="J20" s="59"/>
      <c r="K20" s="62"/>
      <c r="L20" s="62"/>
      <c r="M20" s="62"/>
      <c r="N20" s="62"/>
      <c r="O20" s="62"/>
      <c r="P20" s="59"/>
      <c r="Q20" s="59"/>
      <c r="R20" s="59"/>
      <c r="S20" s="59"/>
      <c r="T20" s="59"/>
      <c r="U20" s="62"/>
      <c r="V20" s="62"/>
      <c r="W20" s="62"/>
      <c r="X20" s="62"/>
      <c r="Y20" s="62"/>
      <c r="Z20" s="59"/>
      <c r="AA20" s="59"/>
      <c r="AB20" s="59"/>
      <c r="AC20" s="59"/>
      <c r="AD20" s="59"/>
      <c r="AE20" s="62"/>
      <c r="AF20" s="62"/>
      <c r="AG20" s="62"/>
      <c r="AH20" s="62"/>
      <c r="AI20" s="62"/>
      <c r="AJ20" s="59"/>
      <c r="AK20" s="59"/>
      <c r="AL20" s="59"/>
      <c r="AM20" s="59"/>
      <c r="AN20" s="59"/>
      <c r="AO20" s="62"/>
      <c r="AP20" s="62"/>
      <c r="AQ20" s="62"/>
      <c r="AR20" s="62"/>
      <c r="AS20" s="62"/>
      <c r="AT20" s="59"/>
      <c r="AU20" s="59"/>
      <c r="AV20" s="76"/>
      <c r="AW20" s="76"/>
      <c r="AX20" s="77"/>
      <c r="AY20" s="77"/>
      <c r="AZ20" s="77"/>
      <c r="BA20" s="77"/>
      <c r="BB20" s="77"/>
      <c r="BC20" s="77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</row>
    <row r="21" ht="36" s="84" customFormat="true" customHeight="true">
      <c r="A21" s="14" t="n">
        <v>5</v>
      </c>
      <c r="B21" s="21" t="s">
        <v>17</v>
      </c>
      <c r="C21" s="14" t="s">
        <v>43</v>
      </c>
      <c r="D21" s="42" t="s">
        <v>68</v>
      </c>
      <c r="E21" s="48" t="n">
        <v>25</v>
      </c>
      <c r="F21" s="59" t="n">
        <v>0</v>
      </c>
      <c r="G21" s="59"/>
      <c r="H21" s="59"/>
      <c r="I21" s="59"/>
      <c r="J21" s="59"/>
      <c r="K21" s="62"/>
      <c r="L21" s="62"/>
      <c r="M21" s="62"/>
      <c r="N21" s="62"/>
      <c r="O21" s="62"/>
      <c r="P21" s="59"/>
      <c r="Q21" s="59"/>
      <c r="R21" s="59"/>
      <c r="S21" s="59"/>
      <c r="T21" s="59"/>
      <c r="U21" s="62"/>
      <c r="V21" s="62"/>
      <c r="W21" s="62"/>
      <c r="X21" s="62"/>
      <c r="Y21" s="62"/>
      <c r="Z21" s="59"/>
      <c r="AA21" s="59"/>
      <c r="AB21" s="59"/>
      <c r="AC21" s="59"/>
      <c r="AD21" s="59"/>
      <c r="AE21" s="62"/>
      <c r="AF21" s="62"/>
      <c r="AG21" s="62"/>
      <c r="AH21" s="62"/>
      <c r="AI21" s="62"/>
      <c r="AJ21" s="59"/>
      <c r="AK21" s="59"/>
      <c r="AL21" s="59"/>
      <c r="AM21" s="59"/>
      <c r="AN21" s="59"/>
      <c r="AO21" s="62"/>
      <c r="AP21" s="62"/>
      <c r="AQ21" s="62"/>
      <c r="AR21" s="62"/>
      <c r="AS21" s="62"/>
      <c r="AT21" s="59"/>
      <c r="AU21" s="59"/>
      <c r="AV21" s="76"/>
      <c r="AW21" s="76"/>
      <c r="AX21" s="77"/>
      <c r="AY21" s="77"/>
      <c r="AZ21" s="77"/>
      <c r="BA21" s="77"/>
      <c r="BB21" s="77"/>
      <c r="BC21" s="77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</row>
    <row r="22" ht="36" s="84" customFormat="true" customHeight="true">
      <c r="A22" s="14" t="n">
        <v>6</v>
      </c>
      <c r="B22" s="21" t="s">
        <v>18</v>
      </c>
      <c r="C22" s="14" t="s">
        <v>44</v>
      </c>
      <c r="D22" s="42" t="s">
        <v>69</v>
      </c>
      <c r="E22" s="48" t="n">
        <v>6.5</v>
      </c>
      <c r="F22" s="59" t="n">
        <v>0</v>
      </c>
      <c r="G22" s="59"/>
      <c r="H22" s="59"/>
      <c r="I22" s="59"/>
      <c r="J22" s="59"/>
      <c r="K22" s="62"/>
      <c r="L22" s="62"/>
      <c r="M22" s="62"/>
      <c r="N22" s="62"/>
      <c r="O22" s="62"/>
      <c r="P22" s="59"/>
      <c r="Q22" s="59"/>
      <c r="R22" s="59"/>
      <c r="S22" s="59"/>
      <c r="T22" s="59"/>
      <c r="U22" s="62"/>
      <c r="V22" s="62"/>
      <c r="W22" s="62"/>
      <c r="X22" s="62"/>
      <c r="Y22" s="62"/>
      <c r="Z22" s="59"/>
      <c r="AA22" s="59"/>
      <c r="AB22" s="59"/>
      <c r="AC22" s="59"/>
      <c r="AD22" s="59"/>
      <c r="AE22" s="62"/>
      <c r="AF22" s="62"/>
      <c r="AG22" s="62"/>
      <c r="AH22" s="62"/>
      <c r="AI22" s="62"/>
      <c r="AJ22" s="59"/>
      <c r="AK22" s="59"/>
      <c r="AL22" s="59"/>
      <c r="AM22" s="59"/>
      <c r="AN22" s="59"/>
      <c r="AO22" s="62"/>
      <c r="AP22" s="62"/>
      <c r="AQ22" s="62"/>
      <c r="AR22" s="62"/>
      <c r="AS22" s="62"/>
      <c r="AT22" s="59"/>
      <c r="AU22" s="59"/>
      <c r="AV22" s="76"/>
      <c r="AW22" s="76"/>
      <c r="AX22" s="77"/>
      <c r="AY22" s="77"/>
      <c r="AZ22" s="77"/>
      <c r="BA22" s="77"/>
      <c r="BB22" s="77"/>
      <c r="BC22" s="77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</row>
    <row r="23" ht="48" s="84" customFormat="true" customHeight="true">
      <c r="A23" s="14" t="n">
        <v>7</v>
      </c>
      <c r="B23" s="21" t="s">
        <v>19</v>
      </c>
      <c r="C23" s="31" t="s">
        <v>45</v>
      </c>
      <c r="D23" s="42" t="s">
        <v>70</v>
      </c>
      <c r="E23" s="48" t="n">
        <v>10</v>
      </c>
      <c r="F23" s="59" t="n">
        <v>0</v>
      </c>
      <c r="G23" s="59"/>
      <c r="H23" s="59"/>
      <c r="I23" s="59"/>
      <c r="J23" s="59"/>
      <c r="K23" s="62"/>
      <c r="L23" s="62"/>
      <c r="M23" s="62"/>
      <c r="N23" s="62"/>
      <c r="O23" s="62"/>
      <c r="P23" s="59"/>
      <c r="Q23" s="59"/>
      <c r="R23" s="59"/>
      <c r="S23" s="59"/>
      <c r="T23" s="59"/>
      <c r="U23" s="62"/>
      <c r="V23" s="62"/>
      <c r="W23" s="62"/>
      <c r="X23" s="62"/>
      <c r="Y23" s="62"/>
      <c r="Z23" s="59"/>
      <c r="AA23" s="59"/>
      <c r="AB23" s="59"/>
      <c r="AC23" s="59"/>
      <c r="AD23" s="59"/>
      <c r="AE23" s="62"/>
      <c r="AF23" s="62"/>
      <c r="AG23" s="62"/>
      <c r="AH23" s="62"/>
      <c r="AI23" s="62"/>
      <c r="AJ23" s="59"/>
      <c r="AK23" s="59"/>
      <c r="AL23" s="59"/>
      <c r="AM23" s="59"/>
      <c r="AN23" s="59"/>
      <c r="AO23" s="62"/>
      <c r="AP23" s="62"/>
      <c r="AQ23" s="62"/>
      <c r="AR23" s="62"/>
      <c r="AS23" s="62"/>
      <c r="AT23" s="59"/>
      <c r="AU23" s="59"/>
      <c r="AV23" s="76"/>
      <c r="AW23" s="76"/>
      <c r="AX23" s="77"/>
      <c r="AY23" s="77"/>
      <c r="AZ23" s="77"/>
      <c r="BA23" s="77"/>
      <c r="BB23" s="77"/>
      <c r="BC23" s="7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</row>
    <row r="24" ht="48" s="84" customFormat="true" customHeight="true">
      <c r="A24" s="14" t="n">
        <v>8</v>
      </c>
      <c r="B24" s="21" t="s">
        <v>20</v>
      </c>
      <c r="C24" s="31" t="s">
        <v>46</v>
      </c>
      <c r="D24" s="42" t="s">
        <v>71</v>
      </c>
      <c r="E24" s="48" t="n">
        <v>20</v>
      </c>
      <c r="F24" s="59" t="n">
        <v>0</v>
      </c>
      <c r="G24" s="59"/>
      <c r="H24" s="59"/>
      <c r="I24" s="59"/>
      <c r="J24" s="59"/>
      <c r="K24" s="62"/>
      <c r="L24" s="62"/>
      <c r="M24" s="62"/>
      <c r="N24" s="62"/>
      <c r="O24" s="62"/>
      <c r="P24" s="59"/>
      <c r="Q24" s="59"/>
      <c r="R24" s="59"/>
      <c r="S24" s="59"/>
      <c r="T24" s="59"/>
      <c r="U24" s="62"/>
      <c r="V24" s="62"/>
      <c r="W24" s="62"/>
      <c r="X24" s="62"/>
      <c r="Y24" s="62"/>
      <c r="Z24" s="59"/>
      <c r="AA24" s="59"/>
      <c r="AB24" s="59"/>
      <c r="AC24" s="59"/>
      <c r="AD24" s="59"/>
      <c r="AE24" s="62"/>
      <c r="AF24" s="62"/>
      <c r="AG24" s="62"/>
      <c r="AH24" s="62"/>
      <c r="AI24" s="62"/>
      <c r="AJ24" s="59"/>
      <c r="AK24" s="59"/>
      <c r="AL24" s="59"/>
      <c r="AM24" s="59"/>
      <c r="AN24" s="59"/>
      <c r="AO24" s="62"/>
      <c r="AP24" s="62"/>
      <c r="AQ24" s="62"/>
      <c r="AR24" s="62"/>
      <c r="AS24" s="62"/>
      <c r="AT24" s="59"/>
      <c r="AU24" s="59"/>
      <c r="AV24" s="76"/>
      <c r="AW24" s="76"/>
      <c r="AX24" s="77"/>
      <c r="AY24" s="77"/>
      <c r="AZ24" s="77"/>
      <c r="BA24" s="77"/>
      <c r="BB24" s="77"/>
      <c r="BC24" s="77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</row>
    <row r="25" ht="48" s="84" customFormat="true" customHeight="true">
      <c r="A25" s="14" t="n">
        <v>9</v>
      </c>
      <c r="B25" s="21" t="s">
        <v>21</v>
      </c>
      <c r="C25" s="31" t="s">
        <v>47</v>
      </c>
      <c r="D25" s="42" t="s">
        <v>72</v>
      </c>
      <c r="E25" s="48" t="n">
        <v>10</v>
      </c>
      <c r="F25" s="59" t="n">
        <v>0</v>
      </c>
      <c r="G25" s="59"/>
      <c r="H25" s="59"/>
      <c r="I25" s="59"/>
      <c r="J25" s="59"/>
      <c r="K25" s="62"/>
      <c r="L25" s="62"/>
      <c r="M25" s="62"/>
      <c r="N25" s="62"/>
      <c r="O25" s="62"/>
      <c r="P25" s="59"/>
      <c r="Q25" s="59"/>
      <c r="R25" s="59"/>
      <c r="S25" s="59"/>
      <c r="T25" s="59"/>
      <c r="U25" s="62"/>
      <c r="V25" s="62"/>
      <c r="W25" s="62"/>
      <c r="X25" s="62"/>
      <c r="Y25" s="62"/>
      <c r="Z25" s="59"/>
      <c r="AA25" s="59"/>
      <c r="AB25" s="59"/>
      <c r="AC25" s="59"/>
      <c r="AD25" s="59"/>
      <c r="AE25" s="62"/>
      <c r="AF25" s="62"/>
      <c r="AG25" s="62"/>
      <c r="AH25" s="62"/>
      <c r="AI25" s="62"/>
      <c r="AJ25" s="59"/>
      <c r="AK25" s="59"/>
      <c r="AL25" s="59"/>
      <c r="AM25" s="59"/>
      <c r="AN25" s="59"/>
      <c r="AO25" s="62"/>
      <c r="AP25" s="62"/>
      <c r="AQ25" s="62"/>
      <c r="AR25" s="62"/>
      <c r="AS25" s="62"/>
      <c r="AT25" s="59"/>
      <c r="AU25" s="59"/>
      <c r="AV25" s="76"/>
      <c r="AW25" s="76"/>
      <c r="AX25" s="77"/>
      <c r="AY25" s="77"/>
      <c r="AZ25" s="77"/>
      <c r="BA25" s="77"/>
      <c r="BB25" s="77"/>
      <c r="BC25" s="77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</row>
    <row r="26" ht="48" s="84" customFormat="true" customHeight="true">
      <c r="A26" s="14" t="n">
        <v>10</v>
      </c>
      <c r="B26" s="21" t="s">
        <v>22</v>
      </c>
      <c r="C26" s="31" t="s">
        <v>48</v>
      </c>
      <c r="D26" s="42" t="s">
        <v>73</v>
      </c>
      <c r="E26" s="48" t="n">
        <v>3</v>
      </c>
      <c r="F26" s="59" t="n">
        <v>0</v>
      </c>
      <c r="G26" s="59"/>
      <c r="H26" s="59"/>
      <c r="I26" s="59"/>
      <c r="J26" s="59"/>
      <c r="K26" s="62"/>
      <c r="L26" s="62"/>
      <c r="M26" s="62"/>
      <c r="N26" s="62"/>
      <c r="O26" s="62"/>
      <c r="P26" s="59"/>
      <c r="Q26" s="59"/>
      <c r="R26" s="59"/>
      <c r="S26" s="59"/>
      <c r="T26" s="59"/>
      <c r="U26" s="62"/>
      <c r="V26" s="62"/>
      <c r="W26" s="62"/>
      <c r="X26" s="62"/>
      <c r="Y26" s="62"/>
      <c r="Z26" s="59"/>
      <c r="AA26" s="59"/>
      <c r="AB26" s="59"/>
      <c r="AC26" s="59"/>
      <c r="AD26" s="59"/>
      <c r="AE26" s="62"/>
      <c r="AF26" s="62"/>
      <c r="AG26" s="62"/>
      <c r="AH26" s="62"/>
      <c r="AI26" s="62"/>
      <c r="AJ26" s="59"/>
      <c r="AK26" s="59"/>
      <c r="AL26" s="59"/>
      <c r="AM26" s="59"/>
      <c r="AN26" s="59"/>
      <c r="AO26" s="62"/>
      <c r="AP26" s="62"/>
      <c r="AQ26" s="62"/>
      <c r="AR26" s="62"/>
      <c r="AS26" s="62"/>
      <c r="AT26" s="59"/>
      <c r="AU26" s="59"/>
      <c r="AV26" s="76"/>
      <c r="AW26" s="76"/>
      <c r="AX26" s="77"/>
      <c r="AY26" s="77"/>
      <c r="AZ26" s="77"/>
      <c r="BA26" s="77"/>
      <c r="BB26" s="77"/>
      <c r="BC26" s="77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</row>
    <row r="27" s="85" customFormat="true">
      <c r="A27" s="15"/>
      <c r="B27" s="23" t="s">
        <v>23</v>
      </c>
      <c r="C27" s="32" t="s">
        <v>49</v>
      </c>
      <c r="D27" s="43" t="s">
        <v>74</v>
      </c>
      <c r="E27" s="49" t="n">
        <f>ROUND(SUM(E17:E26)/2,1)</f>
        <v>64.8</v>
      </c>
      <c r="F27" s="49" t="n">
        <f>ROUND(SUM(F17:F26)/2,1)</f>
        <v>0</v>
      </c>
      <c r="G27" s="49" t="n">
        <f>ROUND(SUM(G17:G26)/2,1)</f>
        <v>0</v>
      </c>
      <c r="H27" s="49" t="n">
        <f>ROUND(SUM(H17:H26)/2,1)</f>
        <v>0</v>
      </c>
      <c r="I27" s="49" t="n">
        <f>ROUND(SUM(I17:I26)/2,1)</f>
        <v>0</v>
      </c>
      <c r="J27" s="49" t="n">
        <f>ROUND(SUM(J17:J26)/2,1)</f>
        <v>0</v>
      </c>
      <c r="K27" s="49" t="n">
        <f>ROUND(SUM(K17:K26)/2,1)</f>
        <v>0</v>
      </c>
      <c r="L27" s="49" t="n">
        <f>ROUND(SUM(L17:L26)/2,1)</f>
        <v>0</v>
      </c>
      <c r="M27" s="49" t="n">
        <f>ROUND(SUM(M17:M26)/2,1)</f>
        <v>0</v>
      </c>
      <c r="N27" s="49" t="n">
        <f>ROUND(SUM(N17:N26)/2,1)</f>
        <v>0</v>
      </c>
      <c r="O27" s="49" t="n">
        <f>ROUND(SUM(O17:O26)/2,1)</f>
        <v>0</v>
      </c>
      <c r="P27" s="49" t="n">
        <f>ROUND(SUM(P17:P26)/2,1)</f>
        <v>0</v>
      </c>
      <c r="Q27" s="49" t="n">
        <f>ROUND(SUM(Q17:Q26)/2,1)</f>
        <v>0</v>
      </c>
      <c r="R27" s="49" t="n">
        <f>ROUND(SUM(R17:R26)/2,1)</f>
        <v>0</v>
      </c>
      <c r="S27" s="49" t="n">
        <f>ROUND(SUM(S17:S26)/2,1)</f>
        <v>0</v>
      </c>
      <c r="T27" s="49" t="n">
        <f>ROUND(SUM(T17:T26)/2,1)</f>
        <v>0</v>
      </c>
      <c r="U27" s="49" t="n">
        <f>ROUND(SUM(U17:U26)/2,1)</f>
        <v>0</v>
      </c>
      <c r="V27" s="49" t="n">
        <f>ROUND(SUM(V17:V26)/2,1)</f>
        <v>0</v>
      </c>
      <c r="W27" s="49" t="n">
        <f>ROUND(SUM(W17:W26)/2,1)</f>
        <v>0</v>
      </c>
      <c r="X27" s="49" t="n">
        <f>ROUND(SUM(X17:X26)/2,1)</f>
        <v>0</v>
      </c>
      <c r="Y27" s="49" t="n">
        <f>ROUND(SUM(Y17:Y26)/2,1)</f>
        <v>0</v>
      </c>
      <c r="Z27" s="49" t="n">
        <f>ROUND(SUM(Z17:Z26)/2,1)</f>
        <v>0</v>
      </c>
      <c r="AA27" s="49" t="n">
        <f>ROUND(SUM(AA17:AA26)/2,1)</f>
        <v>0</v>
      </c>
      <c r="AB27" s="49" t="n">
        <f>ROUND(SUM(AB17:AB26)/2,1)</f>
        <v>0</v>
      </c>
      <c r="AC27" s="49" t="n">
        <f>ROUND(SUM(AC17:AC26)/2,1)</f>
        <v>0</v>
      </c>
      <c r="AD27" s="49" t="n">
        <f>ROUND(SUM(AD17:AD26)/2,1)</f>
        <v>0</v>
      </c>
      <c r="AE27" s="49" t="n">
        <f>ROUND(SUM(AE17:AE26)/2,1)</f>
        <v>0</v>
      </c>
      <c r="AF27" s="49" t="n">
        <f>ROUND(SUM(AF17:AF26)/2,1)</f>
        <v>0</v>
      </c>
      <c r="AG27" s="49" t="n">
        <f>ROUND(SUM(AG17:AG26)/2,1)</f>
        <v>0</v>
      </c>
      <c r="AH27" s="49" t="n">
        <f>ROUND(SUM(AH17:AH26)/2,1)</f>
        <v>0</v>
      </c>
      <c r="AI27" s="49" t="n">
        <f>ROUND(SUM(AI17:AI26)/2,1)</f>
        <v>0</v>
      </c>
      <c r="AJ27" s="49" t="n">
        <f>ROUND(SUM(AJ17:AJ26)/2,1)</f>
        <v>0</v>
      </c>
      <c r="AK27" s="49" t="n">
        <f>ROUND(SUM(AK17:AK26)/2,1)</f>
        <v>0</v>
      </c>
      <c r="AL27" s="49" t="n">
        <f>ROUND(SUM(AL17:AL26)/2,1)</f>
        <v>0</v>
      </c>
      <c r="AM27" s="49" t="n">
        <f>ROUND(SUM(AM17:AM26)/2,1)</f>
        <v>0</v>
      </c>
      <c r="AN27" s="49" t="n">
        <f>ROUND(SUM(AN17:AN26)/2,1)</f>
        <v>0</v>
      </c>
      <c r="AO27" s="49" t="n">
        <f>ROUND(SUM(AO17:AO26)/2,1)</f>
        <v>0</v>
      </c>
      <c r="AP27" s="49" t="n">
        <f>ROUND(SUM(AP17:AP26)/2,1)</f>
        <v>0</v>
      </c>
      <c r="AQ27" s="49" t="n">
        <f>ROUND(SUM(AQ17:AQ26)/2,1)</f>
        <v>0</v>
      </c>
      <c r="AR27" s="49" t="n">
        <f>ROUND(SUM(AR17:AR26)/2,1)</f>
        <v>0</v>
      </c>
      <c r="AS27" s="49" t="n">
        <f>ROUND(SUM(AS17:AS26)/2,1)</f>
        <v>0</v>
      </c>
      <c r="AT27" s="49" t="n">
        <f>ROUND(SUM(AT17:AT26)/2,1)</f>
        <v>0</v>
      </c>
      <c r="AU27" s="49" t="n">
        <f>ROUND(SUM(AU17:AU26)/2,1)</f>
        <v>0</v>
      </c>
      <c r="AV27" s="49" t="n">
        <f>ROUND(SUM(AV17:AV26)/2,1)</f>
        <v>0</v>
      </c>
      <c r="AW27" s="49" t="n">
        <f>ROUND(SUM(AW17:AW26)/2,1)</f>
        <v>0</v>
      </c>
      <c r="AX27" s="49" t="n">
        <f>ROUND(SUM(AX17:AX26)/2,1)</f>
        <v>0</v>
      </c>
      <c r="AY27" s="49"/>
      <c r="AZ27" s="49"/>
      <c r="BA27" s="49"/>
      <c r="BB27" s="49"/>
      <c r="BC27" s="49"/>
      <c r="BD27" s="49" t="n">
        <f>ROUND(SUM(BD17:BD26)/2,1)</f>
        <v>0</v>
      </c>
      <c r="BE27" s="49" t="n">
        <f>ROUND(SUM(BE17:BE26)/2,1)</f>
        <v>0</v>
      </c>
      <c r="BF27" s="49" t="n">
        <f>ROUND(SUM(BF17:BF26)/2,1)</f>
        <v>0</v>
      </c>
      <c r="BG27" s="49" t="n">
        <f>ROUND(SUM(BG17:BG26)/2,1)</f>
        <v>0</v>
      </c>
      <c r="BH27" s="49" t="n">
        <f>ROUND(SUM(BH17:BH26)/2,1)</f>
        <v>0</v>
      </c>
      <c r="BI27" s="49" t="n">
        <f>ROUND(SUM(BI17:BI26)/2,1)</f>
        <v>0</v>
      </c>
      <c r="BJ27" s="49" t="n">
        <f>ROUND(SUM(BJ17:BJ26)/2,1)</f>
        <v>0</v>
      </c>
      <c r="BK27" s="49" t="n">
        <f>ROUND(SUM(BK17:BK26)/2,1)</f>
        <v>0</v>
      </c>
      <c r="BL27" s="49" t="n">
        <f>ROUND(SUM(BL17:BL26)/2,1)</f>
        <v>0</v>
      </c>
      <c r="BM27" s="49" t="n">
        <f>ROUND(SUM(BM17:BM26)/2,1)</f>
        <v>0</v>
      </c>
      <c r="BN27" s="49" t="n">
        <f>ROUND(SUM(BN17:BN26)/2,1)</f>
        <v>0</v>
      </c>
      <c r="BO27" s="49" t="n">
        <f>ROUND(SUM(BO17:BO26)/2,1)</f>
        <v>0</v>
      </c>
      <c r="BP27" s="49" t="n">
        <f>ROUND(SUM(BP17:BP26)/2,1)</f>
        <v>0</v>
      </c>
      <c r="BQ27" s="49" t="n">
        <f>ROUND(SUM(BQ17:BQ26)/2,1)</f>
        <v>0</v>
      </c>
      <c r="BR27" s="49" t="n">
        <f>ROUND(SUM(BR17:BR26)/2,1)</f>
        <v>0</v>
      </c>
      <c r="BS27" s="49" t="n">
        <f>ROUND(SUM(BS17:BS26)/2,1)</f>
        <v>0</v>
      </c>
      <c r="BT27" s="49" t="n">
        <f>ROUND(SUM(BT17:BT26)/2,1)</f>
        <v>0</v>
      </c>
      <c r="BU27" s="49" t="n">
        <f>ROUND(SUM(BU17:BU26)/2,1)</f>
        <v>0</v>
      </c>
      <c r="BV27" s="49" t="n">
        <f>ROUND(SUM(BV17:BV26)/2,1)</f>
        <v>0</v>
      </c>
      <c r="BW27" s="49" t="n">
        <f>ROUND(SUM(BW17:BW26)/2,1)</f>
        <v>0</v>
      </c>
      <c r="BX27" s="49" t="n">
        <f>ROUND(SUM(BX17:BX26)/2,1)</f>
        <v>0</v>
      </c>
      <c r="BY27" s="49" t="n">
        <f>ROUND(SUM(BY17:BY26)/2,1)</f>
        <v>0</v>
      </c>
      <c r="BZ27" s="49" t="n">
        <f>ROUND(SUM(BZ17:BZ26)/2,1)</f>
        <v>0</v>
      </c>
      <c r="CA27" s="49" t="n">
        <f>ROUND(SUM(CA17:CA26)/2,1)</f>
        <v>0</v>
      </c>
      <c r="CB27" s="49" t="n">
        <f>ROUND(SUM(CB17:CB26)/2,1)</f>
        <v>0</v>
      </c>
      <c r="CC27" s="49" t="n">
        <f>ROUND(SUM(CC17:CC26)/2,1)</f>
        <v>0</v>
      </c>
      <c r="CD27" s="49" t="n">
        <f>ROUND(SUM(CD17:CD26)/2,1)</f>
        <v>0</v>
      </c>
      <c r="CE27" s="49" t="n">
        <f>ROUND(SUM(CE17:CE26)/2,1)</f>
        <v>0</v>
      </c>
      <c r="CF27" s="49" t="n">
        <f>ROUND(SUM(CF17:CF26)/2,1)</f>
        <v>0</v>
      </c>
      <c r="CG27" s="49" t="n">
        <f>ROUND(SUM(CG17:CG26)/2,1)</f>
        <v>0</v>
      </c>
      <c r="CH27" s="49" t="n">
        <f>ROUND(SUM(CH17:CH26)/2,1)</f>
        <v>0</v>
      </c>
      <c r="CI27" s="49" t="n">
        <f>ROUND(SUM(CI17:CI26)/2,1)</f>
        <v>0</v>
      </c>
      <c r="CJ27" s="49" t="n">
        <f>ROUND(SUM(CJ17:CJ26)/2,1)</f>
        <v>0</v>
      </c>
      <c r="CK27" s="49" t="n">
        <f>ROUND(SUM(CK17:CK26)/2,1)</f>
        <v>0</v>
      </c>
      <c r="CL27" s="49" t="n">
        <f>ROUND(SUM(CL17:CL26)/2,1)</f>
        <v>0</v>
      </c>
      <c r="CM27" s="49" t="n">
        <f>ROUND(SUM(CM17:CM26)/2,1)</f>
        <v>0</v>
      </c>
      <c r="CN27" s="49" t="n">
        <f>ROUND(SUM(CN17:CN26)/2,1)</f>
        <v>0</v>
      </c>
      <c r="CO27" s="49" t="n">
        <f>ROUND(SUM(CO17:CO26)/2,1)</f>
        <v>0</v>
      </c>
      <c r="CP27" s="49" t="n">
        <f>ROUND(SUM(CP17:CP26)/2,1)</f>
        <v>0</v>
      </c>
      <c r="CQ27" s="49" t="n">
        <f>ROUND(SUM(CQ17:CQ26)/2,1)</f>
        <v>0</v>
      </c>
      <c r="CR27" s="49" t="n">
        <f>ROUND(SUM(CR17:CR26)/2,1)</f>
        <v>0</v>
      </c>
      <c r="CS27" s="49" t="n">
        <f>ROUND(SUM(CS17:CS26)/2,1)</f>
        <v>0</v>
      </c>
      <c r="CT27" s="49" t="n">
        <f>ROUND(SUM(CT17:CT26)/2,1)</f>
        <v>0</v>
      </c>
      <c r="CU27" s="49" t="n">
        <f>ROUND(SUM(CU17:CU26)/2,1)</f>
        <v>0</v>
      </c>
      <c r="CV27" s="49" t="n">
        <f>ROUND(SUM(CV17:CV26)/2,1)</f>
        <v>0</v>
      </c>
      <c r="CW27" s="49" t="n">
        <f>ROUND(SUM(CW17:CW26)/2,1)</f>
        <v>0</v>
      </c>
      <c r="CX27" s="49" t="n">
        <f>ROUND(SUM(CX17:CX26)/2,1)</f>
        <v>0</v>
      </c>
      <c r="CY27" s="49" t="n">
        <f>ROUND(SUM(CY17:CY26)/2,1)</f>
        <v>0</v>
      </c>
      <c r="CZ27" s="49" t="n">
        <f>ROUND(SUM(CZ17:CZ26)/2,1)</f>
        <v>0</v>
      </c>
      <c r="DA27" s="49" t="n">
        <f>ROUND(SUM(DA17:DA26)/2,1)</f>
        <v>0</v>
      </c>
      <c r="DB27" s="49" t="n">
        <f>ROUND(SUM(DB17:DB26)/2,1)</f>
        <v>0</v>
      </c>
      <c r="DC27" s="49" t="n">
        <f>ROUND(SUM(DC17:DC26)/2,1)</f>
        <v>0</v>
      </c>
      <c r="DD27" s="49" t="n">
        <f>ROUND(SUM(DD17:DD26)/2,1)</f>
        <v>0</v>
      </c>
      <c r="DE27" s="49" t="n">
        <f>ROUND(SUM(DE17:DE26)/2,1)</f>
        <v>0</v>
      </c>
      <c r="DF27" s="49" t="n">
        <f>ROUND(SUM(DF17:DF26)/2,1)</f>
        <v>0</v>
      </c>
      <c r="DG27" s="49" t="n">
        <f>ROUND(SUM(DG17:DG26)/2,1)</f>
        <v>0</v>
      </c>
      <c r="DH27" s="49" t="n">
        <f>ROUND(SUM(DH17:DH26)/2,1)</f>
        <v>0</v>
      </c>
      <c r="DI27" s="49" t="n">
        <f>ROUND(SUM(DI17:DI26)/2,1)</f>
        <v>0</v>
      </c>
      <c r="DJ27" s="49" t="n">
        <f>ROUND(SUM(DJ17:DJ26)/2,1)</f>
        <v>0</v>
      </c>
      <c r="DK27" s="49" t="n">
        <f>ROUND(SUM(DK17:DK26)/2,1)</f>
        <v>0</v>
      </c>
      <c r="DL27" s="49" t="n">
        <f>ROUND(SUM(DL17:DL26)/2,1)</f>
        <v>0</v>
      </c>
      <c r="DM27" s="49" t="n">
        <f>ROUND(SUM(DM17:DM26)/2,1)</f>
        <v>0</v>
      </c>
      <c r="DN27" s="49" t="n">
        <f>ROUND(SUM(DN17:DN26)/2,1)</f>
        <v>0</v>
      </c>
      <c r="DO27" s="49" t="n">
        <f>ROUND(SUM(DO17:DO26)/2,1)</f>
        <v>0</v>
      </c>
      <c r="DP27" s="49" t="n">
        <f>ROUND(SUM(DP17:DP26)/2,1)</f>
        <v>0</v>
      </c>
      <c r="DQ27" s="49" t="n">
        <f>ROUND(SUM(DQ17:DQ26)/2,1)</f>
        <v>0</v>
      </c>
      <c r="DR27" s="49" t="n">
        <f>ROUND(SUM(DR17:DR26)/2,1)</f>
        <v>0</v>
      </c>
      <c r="DS27" s="49" t="n">
        <f>ROUND(SUM(DS17:DS26)/2,1)</f>
        <v>0</v>
      </c>
      <c r="DT27" s="49" t="n">
        <f>ROUND(SUM(DT17:DT26)/2,1)</f>
        <v>0</v>
      </c>
      <c r="DU27" s="49" t="n">
        <f>ROUND(SUM(DU17:DU26)/2,1)</f>
        <v>0</v>
      </c>
      <c r="DV27" s="49" t="n">
        <f>ROUND(SUM(DV17:DV26)/2,1)</f>
        <v>0</v>
      </c>
      <c r="DW27" s="49" t="n">
        <f>ROUND(SUM(DW17:DW26)/2,1)</f>
        <v>0</v>
      </c>
      <c r="DX27" s="49" t="n">
        <f>ROUND(SUM(DX17:DX26)/2,1)</f>
        <v>0</v>
      </c>
      <c r="DY27" s="49" t="n">
        <f>ROUND(SUM(DY17:DY26)/2,1)</f>
        <v>0</v>
      </c>
      <c r="DZ27" s="49" t="n">
        <f>ROUND(SUM(DZ17:DZ26)/2,1)</f>
        <v>0</v>
      </c>
      <c r="EA27" s="49" t="n">
        <f>ROUND(SUM(EA17:EA26)/2,1)</f>
        <v>0</v>
      </c>
      <c r="EB27" s="49" t="n">
        <f>ROUND(SUM(EB17:EB26)/2,1)</f>
        <v>0</v>
      </c>
      <c r="EC27" s="49" t="n">
        <f>ROUND(SUM(EC17:EC26)/2,1)</f>
        <v>0</v>
      </c>
      <c r="ED27" s="49" t="n">
        <f>ROUND(SUM(ED17:ED26)/2,1)</f>
        <v>0</v>
      </c>
      <c r="EE27" s="49" t="n">
        <f>ROUND(SUM(EE17:EE26)/2,1)</f>
        <v>0</v>
      </c>
      <c r="EF27" s="49" t="n">
        <f>ROUND(SUM(EF17:EF26)/2,1)</f>
        <v>0</v>
      </c>
      <c r="EG27" s="49" t="n">
        <f>ROUND(SUM(EG17:EG26)/2,1)</f>
        <v>0</v>
      </c>
      <c r="EH27" s="49" t="n">
        <f>ROUND(SUM(EH17:EH26)/2,1)</f>
        <v>0</v>
      </c>
      <c r="EI27" s="49" t="n">
        <f>ROUND(SUM(EI17:EI26)/2,1)</f>
        <v>0</v>
      </c>
      <c r="EJ27" s="49" t="n">
        <f>ROUND(SUM(EJ17:EJ26)/2,1)</f>
        <v>0</v>
      </c>
      <c r="EK27" s="49" t="n">
        <f>ROUND(SUM(EK17:EK26)/2,1)</f>
        <v>0</v>
      </c>
      <c r="EL27" s="49" t="n">
        <f>ROUND(SUM(EL17:EL26)/2,1)</f>
        <v>0</v>
      </c>
      <c r="EM27" s="49" t="n">
        <f>ROUND(SUM(EM17:EM26)/2,1)</f>
        <v>0</v>
      </c>
      <c r="EN27" s="49" t="n">
        <f>ROUND(SUM(EN17:EN26)/2,1)</f>
        <v>0</v>
      </c>
      <c r="EO27" s="49" t="n">
        <f>ROUND(SUM(EO17:EO26)/2,1)</f>
        <v>0</v>
      </c>
      <c r="EP27" s="49" t="n">
        <f>ROUND(SUM(EP17:EP26)/2,1)</f>
        <v>0</v>
      </c>
      <c r="EQ27" s="49" t="n">
        <f>ROUND(SUM(EQ17:EQ26)/2,1)</f>
        <v>0</v>
      </c>
      <c r="ER27" s="49" t="n">
        <f>ROUND(SUM(ER17:ER26)/2,1)</f>
        <v>0</v>
      </c>
      <c r="ES27" s="49" t="n">
        <f>ROUND(SUM(ES17:ES26)/2,1)</f>
        <v>0</v>
      </c>
      <c r="ET27" s="49" t="n">
        <f>ROUND(SUM(ET17:ET26)/2,1)</f>
        <v>0</v>
      </c>
      <c r="EU27" s="49" t="n">
        <f>ROUND(SUM(EU17:EU26)/2,1)</f>
        <v>0</v>
      </c>
      <c r="EV27" s="49" t="n">
        <f>ROUND(SUM(EV17:EV26)/2,1)</f>
        <v>0</v>
      </c>
      <c r="EW27" s="49" t="n">
        <f>ROUND(SUM(EW17:EW26)/2,1)</f>
        <v>0</v>
      </c>
      <c r="EX27" s="49" t="n">
        <f>ROUND(SUM(EX17:EX26)/2,1)</f>
        <v>0</v>
      </c>
      <c r="EY27" s="49" t="n">
        <f>ROUND(SUM(EY17:EY26)/2,1)</f>
        <v>0</v>
      </c>
      <c r="EZ27" s="49" t="n">
        <f>ROUND(SUM(EZ17:EZ26)/2,1)</f>
        <v>0</v>
      </c>
      <c r="FA27" s="49" t="n">
        <f>ROUND(SUM(FA17:FA26)/2,1)</f>
        <v>0</v>
      </c>
      <c r="FB27" s="49" t="n">
        <f>ROUND(SUM(FB17:FB26)/2,1)</f>
        <v>0</v>
      </c>
      <c r="FC27" s="49" t="n">
        <f>ROUND(SUM(FC17:FC26)/2,1)</f>
        <v>0</v>
      </c>
      <c r="FD27" s="49" t="n">
        <f>ROUND(SUM(FD17:FD26)/2,1)</f>
        <v>0</v>
      </c>
      <c r="FE27" s="49" t="n">
        <f>ROUND(SUM(FE17:FE26)/2,1)</f>
        <v>0</v>
      </c>
      <c r="FF27" s="49" t="n">
        <f>ROUND(SUM(FF17:FF26)/2,1)</f>
        <v>0</v>
      </c>
      <c r="FG27" s="49" t="n">
        <f>ROUND(SUM(FG17:FG26)/2,1)</f>
        <v>0</v>
      </c>
      <c r="FH27" s="49" t="n">
        <f>ROUND(SUM(FH17:FH26)/2,1)</f>
        <v>0</v>
      </c>
      <c r="FI27" s="49" t="n">
        <f>ROUND(SUM(FI17:FI26)/2,1)</f>
        <v>0</v>
      </c>
      <c r="FJ27" s="49" t="n">
        <f>ROUND(SUM(FJ17:FJ26)/2,1)</f>
        <v>0</v>
      </c>
      <c r="FK27" s="49" t="n">
        <f>ROUND(SUM(FK17:FK26)/2,1)</f>
        <v>0</v>
      </c>
      <c r="FL27" s="49" t="n">
        <f>ROUND(SUM(FL17:FL26)/2,1)</f>
        <v>0</v>
      </c>
      <c r="FM27" s="49" t="n">
        <f>ROUND(SUM(FM17:FM26)/2,1)</f>
        <v>0</v>
      </c>
      <c r="FN27" s="49" t="n">
        <f>ROUND(SUM(FN17:FN26)/2,1)</f>
        <v>0</v>
      </c>
      <c r="FO27" s="49" t="n">
        <f>ROUND(SUM(FO17:FO26)/2,1)</f>
        <v>0</v>
      </c>
      <c r="FP27" s="49" t="n">
        <f>ROUND(SUM(FP17:FP26)/2,1)</f>
        <v>0</v>
      </c>
      <c r="FQ27" s="49" t="n">
        <f>ROUND(SUM(FQ17:FQ26)/2,1)</f>
        <v>0</v>
      </c>
      <c r="FR27" s="49" t="n">
        <f>ROUND(SUM(FR17:FR26)/2,1)</f>
        <v>0</v>
      </c>
      <c r="FS27" s="49" t="n">
        <f>ROUND(SUM(FS17:FS26)/2,1)</f>
        <v>0</v>
      </c>
      <c r="FT27" s="49" t="n">
        <f>ROUND(SUM(FT17:FT26)/2,1)</f>
        <v>0</v>
      </c>
      <c r="FU27" s="49" t="n">
        <f>ROUND(SUM(FU17:FU26)/2,1)</f>
        <v>0</v>
      </c>
      <c r="FV27" s="49" t="n">
        <f>ROUND(SUM(FV17:FV26)/2,1)</f>
        <v>0</v>
      </c>
      <c r="FW27" s="49" t="n">
        <f>ROUND(SUM(FW17:FW26)/2,1)</f>
        <v>0</v>
      </c>
      <c r="FX27" s="49" t="n">
        <f>ROUND(SUM(FX17:FX26)/2,1)</f>
        <v>0</v>
      </c>
      <c r="FY27" s="49" t="n">
        <f>ROUND(SUM(FY17:FY26)/2,1)</f>
        <v>0</v>
      </c>
      <c r="FZ27" s="49" t="n">
        <f>ROUND(SUM(FZ17:FZ26)/2,1)</f>
        <v>0</v>
      </c>
      <c r="GA27" s="49" t="n">
        <f>ROUND(SUM(GA17:GA26)/2,1)</f>
        <v>0</v>
      </c>
      <c r="GB27" s="49" t="n">
        <f>ROUND(SUM(GB17:GB26)/2,1)</f>
        <v>0</v>
      </c>
      <c r="GC27" s="49" t="n">
        <f>ROUND(SUM(GC17:GC26)/2,1)</f>
        <v>0</v>
      </c>
      <c r="GD27" s="49" t="n">
        <f>ROUND(SUM(GD17:GD26)/2,1)</f>
        <v>0</v>
      </c>
      <c r="GE27" s="49" t="n">
        <f>ROUND(SUM(GE17:GE26)/2,1)</f>
        <v>0</v>
      </c>
      <c r="GF27" s="49" t="n">
        <f>ROUND(SUM(GF17:GF26)/2,1)</f>
        <v>0</v>
      </c>
      <c r="GG27" s="49" t="n">
        <f>ROUND(SUM(GG17:GG26)/2,1)</f>
        <v>0</v>
      </c>
      <c r="GH27" s="49" t="n">
        <f>ROUND(SUM(GH17:GH26)/2,1)</f>
        <v>0</v>
      </c>
      <c r="GI27" s="49" t="n">
        <f>ROUND(SUM(GI17:GI26)/2,1)</f>
        <v>0</v>
      </c>
      <c r="GJ27" s="49" t="n">
        <f>ROUND(SUM(GJ17:GJ26)/2,1)</f>
        <v>0</v>
      </c>
      <c r="GK27" s="49" t="n">
        <f>ROUND(SUM(GK17:GK26)/2,1)</f>
        <v>0</v>
      </c>
      <c r="GL27" s="49" t="n">
        <f>ROUND(SUM(GL17:GL26)/2,1)</f>
        <v>0</v>
      </c>
      <c r="GM27" s="49" t="n">
        <f>ROUND(SUM(GM17:GM26)/2,1)</f>
        <v>0</v>
      </c>
      <c r="GN27" s="49" t="n">
        <f>ROUND(SUM(GN17:GN26)/2,1)</f>
        <v>0</v>
      </c>
      <c r="GO27" s="49" t="n">
        <f>ROUND(SUM(GO17:GO26)/2,1)</f>
        <v>0</v>
      </c>
      <c r="GP27" s="49" t="n">
        <f>ROUND(SUM(GP17:GP26)/2,1)</f>
        <v>0</v>
      </c>
      <c r="GQ27" s="49" t="n">
        <f>ROUND(SUM(GQ17:GQ26)/2,1)</f>
        <v>0</v>
      </c>
      <c r="GR27" s="49" t="n">
        <f>ROUND(SUM(GR17:GR26)/2,1)</f>
        <v>0</v>
      </c>
      <c r="GS27" s="49" t="n">
        <f>ROUND(SUM(GS17:GS26)/2,1)</f>
        <v>0</v>
      </c>
      <c r="GT27" s="49" t="n">
        <f>ROUND(SUM(GT17:GT26)/2,1)</f>
        <v>0</v>
      </c>
      <c r="GU27" s="49" t="n">
        <f>ROUND(SUM(GU17:GU26)/2,1)</f>
        <v>0</v>
      </c>
      <c r="GV27" s="49" t="n">
        <f>ROUND(SUM(GV17:GV26)/2,1)</f>
        <v>0</v>
      </c>
      <c r="GW27" s="49" t="n">
        <f>ROUND(SUM(GW17:GW26)/2,1)</f>
        <v>0</v>
      </c>
      <c r="GX27" s="49" t="n">
        <f>ROUND(SUM(GX17:GX26)/2,1)</f>
        <v>0</v>
      </c>
      <c r="GY27" s="49" t="n">
        <f>ROUND(SUM(GY17:GY26)/2,1)</f>
        <v>0</v>
      </c>
      <c r="GZ27" s="49" t="n">
        <f>ROUND(SUM(GZ17:GZ26)/2,1)</f>
        <v>0</v>
      </c>
      <c r="HA27" s="49" t="n">
        <f>ROUND(SUM(HA17:HA26)/2,1)</f>
        <v>0</v>
      </c>
      <c r="HB27" s="49" t="n">
        <f>ROUND(SUM(HB17:HB26)/2,1)</f>
        <v>0</v>
      </c>
      <c r="HC27" s="49" t="n">
        <f>ROUND(SUM(HC17:HC26)/2,1)</f>
        <v>0</v>
      </c>
      <c r="HD27" s="49" t="n">
        <f>ROUND(SUM(HD17:HD26)/2,1)</f>
        <v>0</v>
      </c>
      <c r="HE27" s="49" t="n">
        <f>ROUND(SUM(HE17:HE26)/2,1)</f>
        <v>0</v>
      </c>
      <c r="HF27" s="49" t="n">
        <f>ROUND(SUM(HF17:HF26)/2,1)</f>
        <v>0</v>
      </c>
      <c r="HG27" s="49" t="n">
        <f>ROUND(SUM(HG17:HG26)/2,1)</f>
        <v>0</v>
      </c>
      <c r="HH27" s="49" t="n">
        <f>ROUND(SUM(HH17:HH26)/2,1)</f>
        <v>0</v>
      </c>
      <c r="HI27" s="49" t="n">
        <f>ROUND(SUM(HI17:HI26)/2,1)</f>
        <v>0</v>
      </c>
      <c r="HJ27" s="49" t="n">
        <f>ROUND(SUM(HJ17:HJ26)/2,1)</f>
        <v>0</v>
      </c>
      <c r="HK27" s="49" t="n">
        <f>ROUND(SUM(HK17:HK26)/2,1)</f>
        <v>0</v>
      </c>
      <c r="HL27" s="49" t="n">
        <f>ROUND(SUM(HL17:HL26)/2,1)</f>
        <v>0</v>
      </c>
      <c r="HM27" s="49" t="n">
        <f>ROUND(SUM(HM17:HM26)/2,1)</f>
        <v>0</v>
      </c>
      <c r="HN27" s="49" t="n">
        <f>ROUND(SUM(HN17:HN26)/2,1)</f>
        <v>0</v>
      </c>
      <c r="HO27" s="49" t="n">
        <f>ROUND(SUM(HO17:HO26)/2,1)</f>
        <v>0</v>
      </c>
      <c r="HP27" s="49" t="n">
        <f>ROUND(SUM(HP17:HP26)/2,1)</f>
        <v>0</v>
      </c>
      <c r="HQ27" s="49" t="n">
        <f>ROUND(SUM(HQ17:HQ26)/2,1)</f>
        <v>0</v>
      </c>
      <c r="HR27" s="49" t="n">
        <f>ROUND(SUM(HR17:HR26)/2,1)</f>
        <v>0</v>
      </c>
      <c r="HS27" s="49" t="n">
        <f>ROUND(SUM(HS17:HS26)/2,1)</f>
        <v>0</v>
      </c>
      <c r="HT27" s="49" t="n">
        <f>ROUND(SUM(HT17:HT26)/2,1)</f>
        <v>0</v>
      </c>
      <c r="HU27" s="49" t="n">
        <f>ROUND(SUM(HU17:HU26)/2,1)</f>
        <v>0</v>
      </c>
      <c r="HV27" s="49" t="n">
        <f>ROUND(SUM(HV17:HV26)/2,1)</f>
        <v>0</v>
      </c>
      <c r="HW27" s="49" t="n">
        <f>ROUND(SUM(HW17:HW26)/2,1)</f>
        <v>0</v>
      </c>
      <c r="HX27" s="49" t="n">
        <f>ROUND(SUM(HX17:HX26)/2,1)</f>
        <v>0</v>
      </c>
      <c r="HY27" s="49" t="n">
        <f>ROUND(SUM(HY17:HY26)/2,1)</f>
        <v>0</v>
      </c>
      <c r="HZ27" s="49" t="n">
        <f>ROUND(SUM(HZ17:HZ26)/2,1)</f>
        <v>0</v>
      </c>
      <c r="IA27" s="49" t="n">
        <f>ROUND(SUM(IA17:IA26)/2,1)</f>
        <v>0</v>
      </c>
      <c r="IB27" s="49" t="n">
        <f>ROUND(SUM(IB17:IB26)/2,1)</f>
        <v>0</v>
      </c>
      <c r="IC27" s="49" t="n">
        <f>ROUND(SUM(IC17:IC26)/2,1)</f>
        <v>0</v>
      </c>
      <c r="ID27" s="49" t="n">
        <f>ROUND(SUM(ID17:ID26)/2,1)</f>
        <v>0</v>
      </c>
      <c r="IE27" s="49" t="n">
        <f>ROUND(SUM(IE17:IE26)/2,1)</f>
        <v>0</v>
      </c>
      <c r="IF27" s="49" t="n">
        <f>ROUND(SUM(IF17:IF26)/2,1)</f>
        <v>0</v>
      </c>
      <c r="IG27" s="49" t="n">
        <f>ROUND(SUM(IG17:IG26)/2,1)</f>
        <v>0</v>
      </c>
      <c r="IH27" s="49" t="n">
        <f>ROUND(SUM(IH17:IH26)/2,1)</f>
        <v>0</v>
      </c>
      <c r="II27" s="49" t="n">
        <f>ROUND(SUM(II17:II26)/2,1)</f>
        <v>0</v>
      </c>
      <c r="IJ27" s="49" t="n">
        <f>ROUND(SUM(IJ17:IJ26)/2,1)</f>
        <v>0</v>
      </c>
      <c r="IK27" s="49" t="n">
        <f>ROUND(SUM(IK17:IK26)/2,1)</f>
        <v>0</v>
      </c>
      <c r="IL27" s="49" t="n">
        <f>ROUND(SUM(IL17:IL26)/2,1)</f>
        <v>0</v>
      </c>
      <c r="IM27" s="49" t="n">
        <f>ROUND(SUM(IM17:IM26)/2,1)</f>
        <v>0</v>
      </c>
      <c r="IN27" s="49" t="n">
        <f>ROUND(SUM(IN17:IN26)/2,1)</f>
        <v>0</v>
      </c>
      <c r="IO27" s="49" t="n">
        <f>ROUND(SUM(IO17:IO26)/2,1)</f>
        <v>0</v>
      </c>
      <c r="IP27" s="49" t="n">
        <f>ROUND(SUM(IP17:IP26)/2,1)</f>
        <v>0</v>
      </c>
      <c r="IQ27" s="49" t="n">
        <f>ROUND(SUM(IQ17:IQ26)/2,1)</f>
        <v>0</v>
      </c>
      <c r="IR27" s="49" t="n">
        <f>ROUND(SUM(IR17:IR26)/2,1)</f>
        <v>0</v>
      </c>
      <c r="IS27" s="49" t="n">
        <f>ROUND(SUM(IS17:IS26)/2,1)</f>
        <v>0</v>
      </c>
      <c r="IT27" s="49" t="n">
        <f>ROUND(SUM(IT17:IT26)/2,1)</f>
        <v>0</v>
      </c>
      <c r="IU27" s="49" t="n">
        <f>ROUND(SUM(IU17:IU26)/2,1)</f>
        <v>0</v>
      </c>
    </row>
    <row r="28" s="85" customFormat="true">
      <c r="A28" s="15"/>
      <c r="B28" s="24"/>
      <c r="C28" s="33"/>
      <c r="D28" s="43" t="s">
        <v>75</v>
      </c>
      <c r="E28" s="49" t="n">
        <f>IF(E14="접근불가","-",E27)</f>
        <v>64.8</v>
      </c>
      <c r="F28" s="49" t="n">
        <f>IF(F14="접근불가","-",F27)</f>
        <v>0</v>
      </c>
      <c r="G28" s="49" t="n">
        <f>IF(G14="접근불가","-",G27)</f>
        <v>0</v>
      </c>
      <c r="H28" s="49" t="n">
        <f>IF(H14="접근불가","-",H27)</f>
        <v>0</v>
      </c>
      <c r="I28" s="49" t="n">
        <f>IF(I14="접근불가","-",I27)</f>
        <v>0</v>
      </c>
      <c r="J28" s="49" t="n">
        <f>IF(J14="접근불가","-",J27)</f>
        <v>0</v>
      </c>
      <c r="K28" s="49" t="n">
        <f>IF(K14="접근불가","-",K27)</f>
        <v>0</v>
      </c>
      <c r="L28" s="49" t="n">
        <f>IF(L14="접근불가","-",L27)</f>
        <v>0</v>
      </c>
      <c r="M28" s="49" t="n">
        <f>IF(M14="접근불가","-",M27)</f>
        <v>0</v>
      </c>
      <c r="N28" s="49" t="n">
        <f>IF(N14="접근불가","-",N27)</f>
        <v>0</v>
      </c>
      <c r="O28" s="49" t="n">
        <f>IF(O14="접근불가","-",O27)</f>
        <v>0</v>
      </c>
      <c r="P28" s="49" t="n">
        <f>IF(P14="접근불가","-",P27)</f>
        <v>0</v>
      </c>
      <c r="Q28" s="49" t="n">
        <f>IF(Q14="접근불가","-",Q27)</f>
        <v>0</v>
      </c>
      <c r="R28" s="49" t="n">
        <f>IF(R14="접근불가","-",R27)</f>
        <v>0</v>
      </c>
      <c r="S28" s="49" t="n">
        <f>IF(S14="접근불가","-",S27)</f>
        <v>0</v>
      </c>
      <c r="T28" s="49" t="n">
        <f>IF(T14="접근불가","-",T27)</f>
        <v>0</v>
      </c>
      <c r="U28" s="49" t="n">
        <f>IF(U14="접근불가","-",U27)</f>
        <v>0</v>
      </c>
      <c r="V28" s="49" t="n">
        <f>IF(V14="접근불가","-",V27)</f>
        <v>0</v>
      </c>
      <c r="W28" s="49" t="n">
        <f>IF(W14="접근불가","-",W27)</f>
        <v>0</v>
      </c>
      <c r="X28" s="49" t="n">
        <f>IF(X14="접근불가","-",X27)</f>
        <v>0</v>
      </c>
      <c r="Y28" s="49" t="n">
        <f>IF(Y14="접근불가","-",Y27)</f>
        <v>0</v>
      </c>
      <c r="Z28" s="49" t="n">
        <f>IF(Z14="접근불가","-",Z27)</f>
        <v>0</v>
      </c>
      <c r="AA28" s="49" t="n">
        <f>IF(AA14="접근불가","-",AA27)</f>
        <v>0</v>
      </c>
      <c r="AB28" s="49" t="n">
        <f>IF(AB14="접근불가","-",AB27)</f>
        <v>0</v>
      </c>
      <c r="AC28" s="49" t="n">
        <f>IF(AC14="접근불가","-",AC27)</f>
        <v>0</v>
      </c>
      <c r="AD28" s="49" t="n">
        <f>IF(AD14="접근불가","-",AD27)</f>
        <v>0</v>
      </c>
      <c r="AE28" s="49" t="n">
        <f>IF(AE14="접근불가","-",AE27)</f>
        <v>0</v>
      </c>
      <c r="AF28" s="49" t="n">
        <f>IF(AF14="접근불가","-",AF27)</f>
        <v>0</v>
      </c>
      <c r="AG28" s="49" t="n">
        <f>IF(AG14="접근불가","-",AG27)</f>
        <v>0</v>
      </c>
      <c r="AH28" s="49" t="n">
        <f>IF(AH14="접근불가","-",AH27)</f>
        <v>0</v>
      </c>
      <c r="AI28" s="49" t="n">
        <f>IF(AI14="접근불가","-",AI27)</f>
        <v>0</v>
      </c>
      <c r="AJ28" s="49" t="n">
        <f>IF(AJ14="접근불가","-",AJ27)</f>
        <v>0</v>
      </c>
      <c r="AK28" s="49" t="n">
        <f>IF(AK14="접근불가","-",AK27)</f>
        <v>0</v>
      </c>
      <c r="AL28" s="49" t="n">
        <f>IF(AL14="접근불가","-",AL27)</f>
        <v>0</v>
      </c>
      <c r="AM28" s="49" t="n">
        <f>IF(AM14="접근불가","-",AM27)</f>
        <v>0</v>
      </c>
      <c r="AN28" s="49" t="n">
        <f>IF(AN14="접근불가","-",AN27)</f>
        <v>0</v>
      </c>
      <c r="AO28" s="49" t="n">
        <f>IF(AO14="접근불가","-",AO27)</f>
        <v>0</v>
      </c>
      <c r="AP28" s="49" t="n">
        <f>IF(AP14="접근불가","-",AP27)</f>
        <v>0</v>
      </c>
      <c r="AQ28" s="49" t="n">
        <f>IF(AQ14="접근불가","-",AQ27)</f>
        <v>0</v>
      </c>
      <c r="AR28" s="49" t="n">
        <f>IF(AR14="접근불가","-",AR27)</f>
        <v>0</v>
      </c>
      <c r="AS28" s="49" t="n">
        <f>IF(AS14="접근불가","-",AS27)</f>
        <v>0</v>
      </c>
      <c r="AT28" s="49" t="n">
        <f>IF(AT14="접근불가","-",AT27)</f>
        <v>0</v>
      </c>
      <c r="AU28" s="49" t="n">
        <f>IF(AU14="접근불가","-",AU27)</f>
        <v>0</v>
      </c>
      <c r="AV28" s="49" t="n">
        <f>IF(AV14="접근불가","-",AV27)</f>
        <v>0</v>
      </c>
      <c r="AW28" s="49" t="n">
        <f>IF(AW14="접근불가","-",AW27)</f>
        <v>0</v>
      </c>
      <c r="AX28" s="49" t="n">
        <f>IF(AX14="접근불가","-",AX27)</f>
        <v>0</v>
      </c>
      <c r="AY28" s="49"/>
      <c r="AZ28" s="49"/>
      <c r="BA28" s="49"/>
      <c r="BB28" s="49"/>
      <c r="BC28" s="49"/>
      <c r="BD28" s="49" t="n">
        <f>IF(BD14="접근불가","-",BD27)</f>
        <v>0</v>
      </c>
      <c r="BE28" s="49" t="n">
        <f>IF(BE14="접근불가","-",BE27)</f>
        <v>0</v>
      </c>
      <c r="BF28" s="49" t="n">
        <f>IF(BF14="접근불가","-",BF27)</f>
        <v>0</v>
      </c>
      <c r="BG28" s="49" t="n">
        <f>IF(BG14="접근불가","-",BG27)</f>
        <v>0</v>
      </c>
      <c r="BH28" s="49" t="n">
        <f>IF(BH14="접근불가","-",BH27)</f>
        <v>0</v>
      </c>
      <c r="BI28" s="49" t="n">
        <f>IF(BI14="접근불가","-",BI27)</f>
        <v>0</v>
      </c>
      <c r="BJ28" s="49" t="n">
        <f>IF(BJ14="접근불가","-",BJ27)</f>
        <v>0</v>
      </c>
      <c r="BK28" s="49" t="n">
        <f>IF(BK14="접근불가","-",BK27)</f>
        <v>0</v>
      </c>
      <c r="BL28" s="49" t="n">
        <f>IF(BL14="접근불가","-",BL27)</f>
        <v>0</v>
      </c>
      <c r="BM28" s="49" t="n">
        <f>IF(BM14="접근불가","-",BM27)</f>
        <v>0</v>
      </c>
      <c r="BN28" s="49" t="n">
        <f>IF(BN14="접근불가","-",BN27)</f>
        <v>0</v>
      </c>
      <c r="BO28" s="49" t="n">
        <f>IF(BO14="접근불가","-",BO27)</f>
        <v>0</v>
      </c>
      <c r="BP28" s="49" t="n">
        <f>IF(BP14="접근불가","-",BP27)</f>
        <v>0</v>
      </c>
      <c r="BQ28" s="49" t="n">
        <f>IF(BQ14="접근불가","-",BQ27)</f>
        <v>0</v>
      </c>
      <c r="BR28" s="49" t="n">
        <f>IF(BR14="접근불가","-",BR27)</f>
        <v>0</v>
      </c>
      <c r="BS28" s="49" t="n">
        <f>IF(BS14="접근불가","-",BS27)</f>
        <v>0</v>
      </c>
      <c r="BT28" s="49" t="n">
        <f>IF(BT14="접근불가","-",BT27)</f>
        <v>0</v>
      </c>
      <c r="BU28" s="49" t="n">
        <f>IF(BU14="접근불가","-",BU27)</f>
        <v>0</v>
      </c>
      <c r="BV28" s="49" t="n">
        <f>IF(BV14="접근불가","-",BV27)</f>
        <v>0</v>
      </c>
      <c r="BW28" s="49" t="n">
        <f>IF(BW14="접근불가","-",BW27)</f>
        <v>0</v>
      </c>
      <c r="BX28" s="49" t="n">
        <f>IF(BX14="접근불가","-",BX27)</f>
        <v>0</v>
      </c>
      <c r="BY28" s="49" t="n">
        <f>IF(BY14="접근불가","-",BY27)</f>
        <v>0</v>
      </c>
      <c r="BZ28" s="49" t="n">
        <f>IF(BZ14="접근불가","-",BZ27)</f>
        <v>0</v>
      </c>
      <c r="CA28" s="49" t="n">
        <f>IF(CA14="접근불가","-",CA27)</f>
        <v>0</v>
      </c>
      <c r="CB28" s="49" t="n">
        <f>IF(CB14="접근불가","-",CB27)</f>
        <v>0</v>
      </c>
      <c r="CC28" s="49" t="n">
        <f>IF(CC14="접근불가","-",CC27)</f>
        <v>0</v>
      </c>
      <c r="CD28" s="49" t="n">
        <f>IF(CD14="접근불가","-",CD27)</f>
        <v>0</v>
      </c>
      <c r="CE28" s="49" t="n">
        <f>IF(CE14="접근불가","-",CE27)</f>
        <v>0</v>
      </c>
      <c r="CF28" s="49" t="n">
        <f>IF(CF14="접근불가","-",CF27)</f>
        <v>0</v>
      </c>
      <c r="CG28" s="49" t="n">
        <f>IF(CG14="접근불가","-",CG27)</f>
        <v>0</v>
      </c>
      <c r="CH28" s="49" t="n">
        <f>IF(CH14="접근불가","-",CH27)</f>
        <v>0</v>
      </c>
      <c r="CI28" s="49" t="n">
        <f>IF(CI14="접근불가","-",CI27)</f>
        <v>0</v>
      </c>
      <c r="CJ28" s="49" t="n">
        <f>IF(CJ14="접근불가","-",CJ27)</f>
        <v>0</v>
      </c>
      <c r="CK28" s="49" t="n">
        <f>IF(CK14="접근불가","-",CK27)</f>
        <v>0</v>
      </c>
      <c r="CL28" s="49" t="n">
        <f>IF(CL14="접근불가","-",CL27)</f>
        <v>0</v>
      </c>
      <c r="CM28" s="49" t="n">
        <f>IF(CM14="접근불가","-",CM27)</f>
        <v>0</v>
      </c>
      <c r="CN28" s="49" t="n">
        <f>IF(CN14="접근불가","-",CN27)</f>
        <v>0</v>
      </c>
      <c r="CO28" s="49" t="n">
        <f>IF(CO14="접근불가","-",CO27)</f>
        <v>0</v>
      </c>
      <c r="CP28" s="49" t="n">
        <f>IF(CP14="접근불가","-",CP27)</f>
        <v>0</v>
      </c>
      <c r="CQ28" s="49" t="n">
        <f>IF(CQ14="접근불가","-",CQ27)</f>
        <v>0</v>
      </c>
      <c r="CR28" s="49" t="n">
        <f>IF(CR14="접근불가","-",CR27)</f>
        <v>0</v>
      </c>
      <c r="CS28" s="49" t="n">
        <f>IF(CS14="접근불가","-",CS27)</f>
        <v>0</v>
      </c>
      <c r="CT28" s="49" t="n">
        <f>IF(CT14="접근불가","-",CT27)</f>
        <v>0</v>
      </c>
      <c r="CU28" s="49" t="n">
        <f>IF(CU14="접근불가","-",CU27)</f>
        <v>0</v>
      </c>
      <c r="CV28" s="49" t="n">
        <f>IF(CV14="접근불가","-",CV27)</f>
        <v>0</v>
      </c>
      <c r="CW28" s="49" t="n">
        <f>IF(CW14="접근불가","-",CW27)</f>
        <v>0</v>
      </c>
      <c r="CX28" s="49" t="n">
        <f>IF(CX14="접근불가","-",CX27)</f>
        <v>0</v>
      </c>
      <c r="CY28" s="49" t="n">
        <f>IF(CY14="접근불가","-",CY27)</f>
        <v>0</v>
      </c>
      <c r="CZ28" s="49" t="n">
        <f>IF(CZ14="접근불가","-",CZ27)</f>
        <v>0</v>
      </c>
      <c r="DA28" s="49" t="n">
        <f>IF(DA14="접근불가","-",DA27)</f>
        <v>0</v>
      </c>
      <c r="DB28" s="49" t="n">
        <f>IF(DB14="접근불가","-",DB27)</f>
        <v>0</v>
      </c>
      <c r="DC28" s="49" t="n">
        <f>IF(DC14="접근불가","-",DC27)</f>
        <v>0</v>
      </c>
      <c r="DD28" s="49" t="n">
        <f>IF(DD14="접근불가","-",DD27)</f>
        <v>0</v>
      </c>
      <c r="DE28" s="49" t="n">
        <f>IF(DE14="접근불가","-",DE27)</f>
        <v>0</v>
      </c>
      <c r="DF28" s="49" t="n">
        <f>IF(DF14="접근불가","-",DF27)</f>
        <v>0</v>
      </c>
      <c r="DG28" s="49" t="n">
        <f>IF(DG14="접근불가","-",DG27)</f>
        <v>0</v>
      </c>
      <c r="DH28" s="49" t="n">
        <f>IF(DH14="접근불가","-",DH27)</f>
        <v>0</v>
      </c>
      <c r="DI28" s="49" t="n">
        <f>IF(DI14="접근불가","-",DI27)</f>
        <v>0</v>
      </c>
      <c r="DJ28" s="49" t="n">
        <f>IF(DJ14="접근불가","-",DJ27)</f>
        <v>0</v>
      </c>
      <c r="DK28" s="49" t="n">
        <f>IF(DK14="접근불가","-",DK27)</f>
        <v>0</v>
      </c>
      <c r="DL28" s="49" t="n">
        <f>IF(DL14="접근불가","-",DL27)</f>
        <v>0</v>
      </c>
      <c r="DM28" s="49" t="n">
        <f>IF(DM14="접근불가","-",DM27)</f>
        <v>0</v>
      </c>
      <c r="DN28" s="49" t="n">
        <f>IF(DN14="접근불가","-",DN27)</f>
        <v>0</v>
      </c>
      <c r="DO28" s="49" t="n">
        <f>IF(DO14="접근불가","-",DO27)</f>
        <v>0</v>
      </c>
      <c r="DP28" s="49" t="n">
        <f>IF(DP14="접근불가","-",DP27)</f>
        <v>0</v>
      </c>
      <c r="DQ28" s="49" t="n">
        <f>IF(DQ14="접근불가","-",DQ27)</f>
        <v>0</v>
      </c>
      <c r="DR28" s="49" t="n">
        <f>IF(DR14="접근불가","-",DR27)</f>
        <v>0</v>
      </c>
      <c r="DS28" s="49" t="n">
        <f>IF(DS14="접근불가","-",DS27)</f>
        <v>0</v>
      </c>
      <c r="DT28" s="49" t="n">
        <f>IF(DT14="접근불가","-",DT27)</f>
        <v>0</v>
      </c>
      <c r="DU28" s="49" t="n">
        <f>IF(DU14="접근불가","-",DU27)</f>
        <v>0</v>
      </c>
      <c r="DV28" s="49" t="n">
        <f>IF(DV14="접근불가","-",DV27)</f>
        <v>0</v>
      </c>
      <c r="DW28" s="49" t="n">
        <f>IF(DW14="접근불가","-",DW27)</f>
        <v>0</v>
      </c>
      <c r="DX28" s="49" t="n">
        <f>IF(DX14="접근불가","-",DX27)</f>
        <v>0</v>
      </c>
      <c r="DY28" s="49" t="n">
        <f>IF(DY14="접근불가","-",DY27)</f>
        <v>0</v>
      </c>
      <c r="DZ28" s="49" t="n">
        <f>IF(DZ14="접근불가","-",DZ27)</f>
        <v>0</v>
      </c>
      <c r="EA28" s="49" t="n">
        <f>IF(EA14="접근불가","-",EA27)</f>
        <v>0</v>
      </c>
      <c r="EB28" s="49" t="n">
        <f>IF(EB14="접근불가","-",EB27)</f>
        <v>0</v>
      </c>
      <c r="EC28" s="49" t="n">
        <f>IF(EC14="접근불가","-",EC27)</f>
        <v>0</v>
      </c>
      <c r="ED28" s="49" t="n">
        <f>IF(ED14="접근불가","-",ED27)</f>
        <v>0</v>
      </c>
      <c r="EE28" s="49" t="n">
        <f>IF(EE14="접근불가","-",EE27)</f>
        <v>0</v>
      </c>
      <c r="EF28" s="49" t="n">
        <f>IF(EF14="접근불가","-",EF27)</f>
        <v>0</v>
      </c>
      <c r="EG28" s="49" t="n">
        <f>IF(EG14="접근불가","-",EG27)</f>
        <v>0</v>
      </c>
      <c r="EH28" s="49" t="n">
        <f>IF(EH14="접근불가","-",EH27)</f>
        <v>0</v>
      </c>
      <c r="EI28" s="49" t="n">
        <f>IF(EI14="접근불가","-",EI27)</f>
        <v>0</v>
      </c>
      <c r="EJ28" s="49" t="n">
        <f>IF(EJ14="접근불가","-",EJ27)</f>
        <v>0</v>
      </c>
      <c r="EK28" s="49" t="n">
        <f>IF(EK14="접근불가","-",EK27)</f>
        <v>0</v>
      </c>
      <c r="EL28" s="49" t="n">
        <f>IF(EL14="접근불가","-",EL27)</f>
        <v>0</v>
      </c>
      <c r="EM28" s="49" t="n">
        <f>IF(EM14="접근불가","-",EM27)</f>
        <v>0</v>
      </c>
      <c r="EN28" s="49" t="n">
        <f>IF(EN14="접근불가","-",EN27)</f>
        <v>0</v>
      </c>
      <c r="EO28" s="49" t="n">
        <f>IF(EO14="접근불가","-",EO27)</f>
        <v>0</v>
      </c>
      <c r="EP28" s="49" t="n">
        <f>IF(EP14="접근불가","-",EP27)</f>
        <v>0</v>
      </c>
      <c r="EQ28" s="49" t="n">
        <f>IF(EQ14="접근불가","-",EQ27)</f>
        <v>0</v>
      </c>
      <c r="ER28" s="49" t="n">
        <f>IF(ER14="접근불가","-",ER27)</f>
        <v>0</v>
      </c>
      <c r="ES28" s="49" t="n">
        <f>IF(ES14="접근불가","-",ES27)</f>
        <v>0</v>
      </c>
      <c r="ET28" s="49" t="n">
        <f>IF(ET14="접근불가","-",ET27)</f>
        <v>0</v>
      </c>
      <c r="EU28" s="49" t="n">
        <f>IF(EU14="접근불가","-",EU27)</f>
        <v>0</v>
      </c>
      <c r="EV28" s="49" t="n">
        <f>IF(EV14="접근불가","-",EV27)</f>
        <v>0</v>
      </c>
      <c r="EW28" s="49" t="n">
        <f>IF(EW14="접근불가","-",EW27)</f>
        <v>0</v>
      </c>
      <c r="EX28" s="49" t="n">
        <f>IF(EX14="접근불가","-",EX27)</f>
        <v>0</v>
      </c>
      <c r="EY28" s="49" t="n">
        <f>IF(EY14="접근불가","-",EY27)</f>
        <v>0</v>
      </c>
      <c r="EZ28" s="49" t="n">
        <f>IF(EZ14="접근불가","-",EZ27)</f>
        <v>0</v>
      </c>
      <c r="FA28" s="49" t="n">
        <f>IF(FA14="접근불가","-",FA27)</f>
        <v>0</v>
      </c>
      <c r="FB28" s="49" t="n">
        <f>IF(FB14="접근불가","-",FB27)</f>
        <v>0</v>
      </c>
      <c r="FC28" s="49" t="n">
        <f>IF(FC14="접근불가","-",FC27)</f>
        <v>0</v>
      </c>
      <c r="FD28" s="49" t="n">
        <f>IF(FD14="접근불가","-",FD27)</f>
        <v>0</v>
      </c>
      <c r="FE28" s="49" t="n">
        <f>IF(FE14="접근불가","-",FE27)</f>
        <v>0</v>
      </c>
      <c r="FF28" s="49" t="n">
        <f>IF(FF14="접근불가","-",FF27)</f>
        <v>0</v>
      </c>
      <c r="FG28" s="49" t="n">
        <f>IF(FG14="접근불가","-",FG27)</f>
        <v>0</v>
      </c>
      <c r="FH28" s="49" t="n">
        <f>IF(FH14="접근불가","-",FH27)</f>
        <v>0</v>
      </c>
      <c r="FI28" s="49" t="n">
        <f>IF(FI14="접근불가","-",FI27)</f>
        <v>0</v>
      </c>
      <c r="FJ28" s="49" t="n">
        <f>IF(FJ14="접근불가","-",FJ27)</f>
        <v>0</v>
      </c>
      <c r="FK28" s="49" t="n">
        <f>IF(FK14="접근불가","-",FK27)</f>
        <v>0</v>
      </c>
      <c r="FL28" s="49" t="n">
        <f>IF(FL14="접근불가","-",FL27)</f>
        <v>0</v>
      </c>
      <c r="FM28" s="49" t="n">
        <f>IF(FM14="접근불가","-",FM27)</f>
        <v>0</v>
      </c>
      <c r="FN28" s="49" t="n">
        <f>IF(FN14="접근불가","-",FN27)</f>
        <v>0</v>
      </c>
      <c r="FO28" s="49" t="n">
        <f>IF(FO14="접근불가","-",FO27)</f>
        <v>0</v>
      </c>
      <c r="FP28" s="49" t="n">
        <f>IF(FP14="접근불가","-",FP27)</f>
        <v>0</v>
      </c>
      <c r="FQ28" s="49" t="n">
        <f>IF(FQ14="접근불가","-",FQ27)</f>
        <v>0</v>
      </c>
      <c r="FR28" s="49" t="n">
        <f>IF(FR14="접근불가","-",FR27)</f>
        <v>0</v>
      </c>
      <c r="FS28" s="49" t="n">
        <f>IF(FS14="접근불가","-",FS27)</f>
        <v>0</v>
      </c>
      <c r="FT28" s="49" t="n">
        <f>IF(FT14="접근불가","-",FT27)</f>
        <v>0</v>
      </c>
      <c r="FU28" s="49" t="n">
        <f>IF(FU14="접근불가","-",FU27)</f>
        <v>0</v>
      </c>
      <c r="FV28" s="49" t="n">
        <f>IF(FV14="접근불가","-",FV27)</f>
        <v>0</v>
      </c>
      <c r="FW28" s="49" t="n">
        <f>IF(FW14="접근불가","-",FW27)</f>
        <v>0</v>
      </c>
      <c r="FX28" s="49" t="n">
        <f>IF(FX14="접근불가","-",FX27)</f>
        <v>0</v>
      </c>
      <c r="FY28" s="49" t="n">
        <f>IF(FY14="접근불가","-",FY27)</f>
        <v>0</v>
      </c>
      <c r="FZ28" s="49" t="n">
        <f>IF(FZ14="접근불가","-",FZ27)</f>
        <v>0</v>
      </c>
      <c r="GA28" s="49" t="n">
        <f>IF(GA14="접근불가","-",GA27)</f>
        <v>0</v>
      </c>
      <c r="GB28" s="49" t="n">
        <f>IF(GB14="접근불가","-",GB27)</f>
        <v>0</v>
      </c>
      <c r="GC28" s="49" t="n">
        <f>IF(GC14="접근불가","-",GC27)</f>
        <v>0</v>
      </c>
      <c r="GD28" s="49" t="n">
        <f>IF(GD14="접근불가","-",GD27)</f>
        <v>0</v>
      </c>
      <c r="GE28" s="49" t="n">
        <f>IF(GE14="접근불가","-",GE27)</f>
        <v>0</v>
      </c>
      <c r="GF28" s="49" t="n">
        <f>IF(GF14="접근불가","-",GF27)</f>
        <v>0</v>
      </c>
      <c r="GG28" s="49" t="n">
        <f>IF(GG14="접근불가","-",GG27)</f>
        <v>0</v>
      </c>
      <c r="GH28" s="49" t="n">
        <f>IF(GH14="접근불가","-",GH27)</f>
        <v>0</v>
      </c>
      <c r="GI28" s="49" t="n">
        <f>IF(GI14="접근불가","-",GI27)</f>
        <v>0</v>
      </c>
      <c r="GJ28" s="49" t="n">
        <f>IF(GJ14="접근불가","-",GJ27)</f>
        <v>0</v>
      </c>
      <c r="GK28" s="49" t="n">
        <f>IF(GK14="접근불가","-",GK27)</f>
        <v>0</v>
      </c>
      <c r="GL28" s="49" t="n">
        <f>IF(GL14="접근불가","-",GL27)</f>
        <v>0</v>
      </c>
      <c r="GM28" s="49" t="n">
        <f>IF(GM14="접근불가","-",GM27)</f>
        <v>0</v>
      </c>
      <c r="GN28" s="49" t="n">
        <f>IF(GN14="접근불가","-",GN27)</f>
        <v>0</v>
      </c>
      <c r="GO28" s="49" t="n">
        <f>IF(GO14="접근불가","-",GO27)</f>
        <v>0</v>
      </c>
      <c r="GP28" s="49" t="n">
        <f>IF(GP14="접근불가","-",GP27)</f>
        <v>0</v>
      </c>
      <c r="GQ28" s="49" t="n">
        <f>IF(GQ14="접근불가","-",GQ27)</f>
        <v>0</v>
      </c>
      <c r="GR28" s="49" t="n">
        <f>IF(GR14="접근불가","-",GR27)</f>
        <v>0</v>
      </c>
      <c r="GS28" s="49" t="n">
        <f>IF(GS14="접근불가","-",GS27)</f>
        <v>0</v>
      </c>
      <c r="GT28" s="49" t="n">
        <f>IF(GT14="접근불가","-",GT27)</f>
        <v>0</v>
      </c>
      <c r="GU28" s="49" t="n">
        <f>IF(GU14="접근불가","-",GU27)</f>
        <v>0</v>
      </c>
      <c r="GV28" s="49" t="n">
        <f>IF(GV14="접근불가","-",GV27)</f>
        <v>0</v>
      </c>
      <c r="GW28" s="49" t="n">
        <f>IF(GW14="접근불가","-",GW27)</f>
        <v>0</v>
      </c>
      <c r="GX28" s="49" t="n">
        <f>IF(GX14="접근불가","-",GX27)</f>
        <v>0</v>
      </c>
      <c r="GY28" s="49" t="n">
        <f>IF(GY14="접근불가","-",GY27)</f>
        <v>0</v>
      </c>
      <c r="GZ28" s="49" t="n">
        <f>IF(GZ14="접근불가","-",GZ27)</f>
        <v>0</v>
      </c>
      <c r="HA28" s="49" t="n">
        <f>IF(HA14="접근불가","-",HA27)</f>
        <v>0</v>
      </c>
      <c r="HB28" s="49" t="n">
        <f>IF(HB14="접근불가","-",HB27)</f>
        <v>0</v>
      </c>
      <c r="HC28" s="49" t="n">
        <f>IF(HC14="접근불가","-",HC27)</f>
        <v>0</v>
      </c>
      <c r="HD28" s="49" t="n">
        <f>IF(HD14="접근불가","-",HD27)</f>
        <v>0</v>
      </c>
      <c r="HE28" s="49" t="n">
        <f>IF(HE14="접근불가","-",HE27)</f>
        <v>0</v>
      </c>
      <c r="HF28" s="49" t="n">
        <f>IF(HF14="접근불가","-",HF27)</f>
        <v>0</v>
      </c>
      <c r="HG28" s="49" t="n">
        <f>IF(HG14="접근불가","-",HG27)</f>
        <v>0</v>
      </c>
      <c r="HH28" s="49" t="n">
        <f>IF(HH14="접근불가","-",HH27)</f>
        <v>0</v>
      </c>
      <c r="HI28" s="49" t="n">
        <f>IF(HI14="접근불가","-",HI27)</f>
        <v>0</v>
      </c>
      <c r="HJ28" s="49" t="n">
        <f>IF(HJ14="접근불가","-",HJ27)</f>
        <v>0</v>
      </c>
      <c r="HK28" s="49" t="n">
        <f>IF(HK14="접근불가","-",HK27)</f>
        <v>0</v>
      </c>
      <c r="HL28" s="49" t="n">
        <f>IF(HL14="접근불가","-",HL27)</f>
        <v>0</v>
      </c>
      <c r="HM28" s="49" t="n">
        <f>IF(HM14="접근불가","-",HM27)</f>
        <v>0</v>
      </c>
      <c r="HN28" s="49" t="n">
        <f>IF(HN14="접근불가","-",HN27)</f>
        <v>0</v>
      </c>
      <c r="HO28" s="49" t="n">
        <f>IF(HO14="접근불가","-",HO27)</f>
        <v>0</v>
      </c>
      <c r="HP28" s="49" t="n">
        <f>IF(HP14="접근불가","-",HP27)</f>
        <v>0</v>
      </c>
      <c r="HQ28" s="49" t="n">
        <f>IF(HQ14="접근불가","-",HQ27)</f>
        <v>0</v>
      </c>
      <c r="HR28" s="49" t="n">
        <f>IF(HR14="접근불가","-",HR27)</f>
        <v>0</v>
      </c>
      <c r="HS28" s="49" t="n">
        <f>IF(HS14="접근불가","-",HS27)</f>
        <v>0</v>
      </c>
      <c r="HT28" s="49" t="n">
        <f>IF(HT14="접근불가","-",HT27)</f>
        <v>0</v>
      </c>
      <c r="HU28" s="49" t="n">
        <f>IF(HU14="접근불가","-",HU27)</f>
        <v>0</v>
      </c>
      <c r="HV28" s="49" t="n">
        <f>IF(HV14="접근불가","-",HV27)</f>
        <v>0</v>
      </c>
      <c r="HW28" s="49" t="n">
        <f>IF(HW14="접근불가","-",HW27)</f>
        <v>0</v>
      </c>
      <c r="HX28" s="49" t="n">
        <f>IF(HX14="접근불가","-",HX27)</f>
        <v>0</v>
      </c>
      <c r="HY28" s="49" t="n">
        <f>IF(HY14="접근불가","-",HY27)</f>
        <v>0</v>
      </c>
      <c r="HZ28" s="49" t="n">
        <f>IF(HZ14="접근불가","-",HZ27)</f>
        <v>0</v>
      </c>
      <c r="IA28" s="49" t="n">
        <f>IF(IA14="접근불가","-",IA27)</f>
        <v>0</v>
      </c>
      <c r="IB28" s="49" t="n">
        <f>IF(IB14="접근불가","-",IB27)</f>
        <v>0</v>
      </c>
      <c r="IC28" s="49" t="n">
        <f>IF(IC14="접근불가","-",IC27)</f>
        <v>0</v>
      </c>
      <c r="ID28" s="49" t="n">
        <f>IF(ID14="접근불가","-",ID27)</f>
        <v>0</v>
      </c>
      <c r="IE28" s="49" t="n">
        <f>IF(IE14="접근불가","-",IE27)</f>
        <v>0</v>
      </c>
      <c r="IF28" s="49" t="n">
        <f>IF(IF14="접근불가","-",IF27)</f>
        <v>0</v>
      </c>
      <c r="IG28" s="49" t="n">
        <f>IF(IG14="접근불가","-",IG27)</f>
        <v>0</v>
      </c>
      <c r="IH28" s="49" t="n">
        <f>IF(IH14="접근불가","-",IH27)</f>
        <v>0</v>
      </c>
      <c r="II28" s="49" t="n">
        <f>IF(II14="접근불가","-",II27)</f>
        <v>0</v>
      </c>
      <c r="IJ28" s="49" t="n">
        <f>IF(IJ14="접근불가","-",IJ27)</f>
        <v>0</v>
      </c>
      <c r="IK28" s="49" t="n">
        <f>IF(IK14="접근불가","-",IK27)</f>
        <v>0</v>
      </c>
      <c r="IL28" s="49" t="n">
        <f>IF(IL14="접근불가","-",IL27)</f>
        <v>0</v>
      </c>
      <c r="IM28" s="49" t="n">
        <f>IF(IM14="접근불가","-",IM27)</f>
        <v>0</v>
      </c>
      <c r="IN28" s="49" t="n">
        <f>IF(IN14="접근불가","-",IN27)</f>
        <v>0</v>
      </c>
      <c r="IO28" s="49" t="n">
        <f>IF(IO14="접근불가","-",IO27)</f>
        <v>0</v>
      </c>
      <c r="IP28" s="49" t="n">
        <f>IF(IP14="접근불가","-",IP27)</f>
        <v>0</v>
      </c>
      <c r="IQ28" s="49" t="n">
        <f>IF(IQ14="접근불가","-",IQ27)</f>
        <v>0</v>
      </c>
      <c r="IR28" s="49" t="n">
        <f>IF(IR14="접근불가","-",IR27)</f>
        <v>0</v>
      </c>
      <c r="IS28" s="49" t="n">
        <f>IF(IS14="접근불가","-",IS27)</f>
        <v>0</v>
      </c>
      <c r="IT28" s="49" t="n">
        <f>IF(IT14="접근불가","-",IT27)</f>
        <v>0</v>
      </c>
      <c r="IU28" s="49" t="n">
        <f>IF(IU14="접근불가","-",IU27)</f>
        <v>0</v>
      </c>
    </row>
    <row r="29" s="85" customFormat="true">
      <c r="A29" s="15"/>
      <c r="B29" s="25"/>
      <c r="C29" s="34"/>
      <c r="D29" s="15" t="s">
        <v>76</v>
      </c>
      <c r="E29" s="49" t="str">
        <f>IFERROR(IF(E28="-","-",IF(E28&gt;=80,"A",IF(E28&gt;=60,"B",IF(E28&gt;=40,"C",IF(E28&gt;=20,"D",IF(E28&gt;=0,"E","-")))))),"E")</f>
        <v>B</v>
      </c>
      <c r="F29" s="60" t="e">
        <f>IFERROR(IF(F28="-","-",IF(F28&gt;=80,"A",IF(F28&gt;=60,"B",IF(F28&gt;=40,"C",IF(F28&gt;=20,"D",IF(F28&gt;=0,"E","-")))))),"E")</f>
        <v>#NAME?</v>
      </c>
      <c r="G29" s="60" t="e">
        <f>IFERROR(IF(G28="-","-",IF(G28&gt;=80,"A",IF(G28&gt;=60,"B",IF(G28&gt;=40,"C",IF(G28&gt;=20,"D",IF(G28&gt;=0,"E","-")))))),"E")</f>
        <v>#NAME?</v>
      </c>
      <c r="H29" s="60" t="e">
        <f>IFERROR(IF(H28="-","-",IF(H28&gt;=80,"A",IF(H28&gt;=60,"B",IF(H28&gt;=40,"C",IF(H28&gt;=20,"D",IF(H28&gt;=0,"E","-")))))),"E")</f>
        <v>#NAME?</v>
      </c>
      <c r="I29" s="60" t="e">
        <f>IFERROR(IF(I28="-","-",IF(I28&gt;=80,"A",IF(I28&gt;=60,"B",IF(I28&gt;=40,"C",IF(I28&gt;=20,"D",IF(I28&gt;=0,"E","-")))))),"E")</f>
        <v>#NAME?</v>
      </c>
      <c r="J29" s="60" t="e">
        <f>IFERROR(IF(J28="-","-",IF(J28&gt;=80,"A",IF(J28&gt;=60,"B",IF(J28&gt;=40,"C",IF(J28&gt;=20,"D",IF(J28&gt;=0,"E","-")))))),"E")</f>
        <v>#NAME?</v>
      </c>
      <c r="K29" s="60" t="e">
        <f>IFERROR(IF(K28="-","-",IF(K28&gt;=80,"A",IF(K28&gt;=60,"B",IF(K28&gt;=40,"C",IF(K28&gt;=20,"D",IF(K28&gt;=0,"E","-")))))),"E")</f>
        <v>#NAME?</v>
      </c>
      <c r="L29" s="60" t="e">
        <f>IFERROR(IF(L28="-","-",IF(L28&gt;=80,"A",IF(L28&gt;=60,"B",IF(L28&gt;=40,"C",IF(L28&gt;=20,"D",IF(L28&gt;=0,"E","-")))))),"E")</f>
        <v>#NAME?</v>
      </c>
      <c r="M29" s="60" t="e">
        <f>IFERROR(IF(M28="-","-",IF(M28&gt;=80,"A",IF(M28&gt;=60,"B",IF(M28&gt;=40,"C",IF(M28&gt;=20,"D",IF(M28&gt;=0,"E","-")))))),"E")</f>
        <v>#NAME?</v>
      </c>
      <c r="N29" s="60" t="e">
        <f>IFERROR(IF(N28="-","-",IF(N28&gt;=80,"A",IF(N28&gt;=60,"B",IF(N28&gt;=40,"C",IF(N28&gt;=20,"D",IF(N28&gt;=0,"E","-")))))),"E")</f>
        <v>#NAME?</v>
      </c>
      <c r="O29" s="60" t="e">
        <f>IFERROR(IF(O28="-","-",IF(O28&gt;=80,"A",IF(O28&gt;=60,"B",IF(O28&gt;=40,"C",IF(O28&gt;=20,"D",IF(O28&gt;=0,"E","-")))))),"E")</f>
        <v>#NAME?</v>
      </c>
      <c r="P29" s="60" t="e">
        <f>IFERROR(IF(P28="-","-",IF(P28&gt;=80,"A",IF(P28&gt;=60,"B",IF(P28&gt;=40,"C",IF(P28&gt;=20,"D",IF(P28&gt;=0,"E","-")))))),"E")</f>
        <v>#NAME?</v>
      </c>
      <c r="Q29" s="60" t="e">
        <f>IFERROR(IF(Q28="-","-",IF(Q28&gt;=80,"A",IF(Q28&gt;=60,"B",IF(Q28&gt;=40,"C",IF(Q28&gt;=20,"D",IF(Q28&gt;=0,"E","-")))))),"E")</f>
        <v>#NAME?</v>
      </c>
      <c r="R29" s="60" t="e">
        <f>IFERROR(IF(R28="-","-",IF(R28&gt;=80,"A",IF(R28&gt;=60,"B",IF(R28&gt;=40,"C",IF(R28&gt;=20,"D",IF(R28&gt;=0,"E","-")))))),"E")</f>
        <v>#NAME?</v>
      </c>
      <c r="S29" s="60" t="e">
        <f>IFERROR(IF(S28="-","-",IF(S28&gt;=80,"A",IF(S28&gt;=60,"B",IF(S28&gt;=40,"C",IF(S28&gt;=20,"D",IF(S28&gt;=0,"E","-")))))),"E")</f>
        <v>#NAME?</v>
      </c>
      <c r="T29" s="60" t="e">
        <f>IFERROR(IF(T28="-","-",IF(T28&gt;=80,"A",IF(T28&gt;=60,"B",IF(T28&gt;=40,"C",IF(T28&gt;=20,"D",IF(T28&gt;=0,"E","-")))))),"E")</f>
        <v>#NAME?</v>
      </c>
      <c r="U29" s="60" t="e">
        <f>IFERROR(IF(U28="-","-",IF(U28&gt;=80,"A",IF(U28&gt;=60,"B",IF(U28&gt;=40,"C",IF(U28&gt;=20,"D",IF(U28&gt;=0,"E","-")))))),"E")</f>
        <v>#NAME?</v>
      </c>
      <c r="V29" s="60" t="e">
        <f>IFERROR(IF(V28="-","-",IF(V28&gt;=80,"A",IF(V28&gt;=60,"B",IF(V28&gt;=40,"C",IF(V28&gt;=20,"D",IF(V28&gt;=0,"E","-")))))),"E")</f>
        <v>#NAME?</v>
      </c>
      <c r="W29" s="60" t="e">
        <f>IFERROR(IF(W28="-","-",IF(W28&gt;=80,"A",IF(W28&gt;=60,"B",IF(W28&gt;=40,"C",IF(W28&gt;=20,"D",IF(W28&gt;=0,"E","-")))))),"E")</f>
        <v>#NAME?</v>
      </c>
      <c r="X29" s="60" t="e">
        <f>IFERROR(IF(X28="-","-",IF(X28&gt;=80,"A",IF(X28&gt;=60,"B",IF(X28&gt;=40,"C",IF(X28&gt;=20,"D",IF(X28&gt;=0,"E","-")))))),"E")</f>
        <v>#NAME?</v>
      </c>
      <c r="Y29" s="60" t="e">
        <f>IFERROR(IF(Y28="-","-",IF(Y28&gt;=80,"A",IF(Y28&gt;=60,"B",IF(Y28&gt;=40,"C",IF(Y28&gt;=20,"D",IF(Y28&gt;=0,"E","-")))))),"E")</f>
        <v>#NAME?</v>
      </c>
      <c r="Z29" s="60" t="e">
        <f>IFERROR(IF(Z28="-","-",IF(Z28&gt;=80,"A",IF(Z28&gt;=60,"B",IF(Z28&gt;=40,"C",IF(Z28&gt;=20,"D",IF(Z28&gt;=0,"E","-")))))),"E")</f>
        <v>#NAME?</v>
      </c>
      <c r="AA29" s="60" t="e">
        <f>IFERROR(IF(AA28="-","-",IF(AA28&gt;=80,"A",IF(AA28&gt;=60,"B",IF(AA28&gt;=40,"C",IF(AA28&gt;=20,"D",IF(AA28&gt;=0,"E","-")))))),"E")</f>
        <v>#NAME?</v>
      </c>
      <c r="AB29" s="60" t="e">
        <f>IFERROR(IF(AB28="-","-",IF(AB28&gt;=80,"A",IF(AB28&gt;=60,"B",IF(AB28&gt;=40,"C",IF(AB28&gt;=20,"D",IF(AB28&gt;=0,"E","-")))))),"E")</f>
        <v>#NAME?</v>
      </c>
      <c r="AC29" s="60" t="e">
        <f>IFERROR(IF(AC28="-","-",IF(AC28&gt;=80,"A",IF(AC28&gt;=60,"B",IF(AC28&gt;=40,"C",IF(AC28&gt;=20,"D",IF(AC28&gt;=0,"E","-")))))),"E")</f>
        <v>#NAME?</v>
      </c>
      <c r="AD29" s="60" t="e">
        <f>IFERROR(IF(AD28="-","-",IF(AD28&gt;=80,"A",IF(AD28&gt;=60,"B",IF(AD28&gt;=40,"C",IF(AD28&gt;=20,"D",IF(AD28&gt;=0,"E","-")))))),"E")</f>
        <v>#NAME?</v>
      </c>
      <c r="AE29" s="60" t="e">
        <f>IFERROR(IF(AE28="-","-",IF(AE28&gt;=80,"A",IF(AE28&gt;=60,"B",IF(AE28&gt;=40,"C",IF(AE28&gt;=20,"D",IF(AE28&gt;=0,"E","-")))))),"E")</f>
        <v>#NAME?</v>
      </c>
      <c r="AF29" s="60" t="e">
        <f>IFERROR(IF(AF28="-","-",IF(AF28&gt;=80,"A",IF(AF28&gt;=60,"B",IF(AF28&gt;=40,"C",IF(AF28&gt;=20,"D",IF(AF28&gt;=0,"E","-")))))),"E")</f>
        <v>#NAME?</v>
      </c>
      <c r="AG29" s="60" t="e">
        <f>IFERROR(IF(AG28="-","-",IF(AG28&gt;=80,"A",IF(AG28&gt;=60,"B",IF(AG28&gt;=40,"C",IF(AG28&gt;=20,"D",IF(AG28&gt;=0,"E","-")))))),"E")</f>
        <v>#NAME?</v>
      </c>
      <c r="AH29" s="60" t="e">
        <f>IFERROR(IF(AH28="-","-",IF(AH28&gt;=80,"A",IF(AH28&gt;=60,"B",IF(AH28&gt;=40,"C",IF(AH28&gt;=20,"D",IF(AH28&gt;=0,"E","-")))))),"E")</f>
        <v>#NAME?</v>
      </c>
      <c r="AI29" s="60" t="e">
        <f>IFERROR(IF(AI28="-","-",IF(AI28&gt;=80,"A",IF(AI28&gt;=60,"B",IF(AI28&gt;=40,"C",IF(AI28&gt;=20,"D",IF(AI28&gt;=0,"E","-")))))),"E")</f>
        <v>#NAME?</v>
      </c>
      <c r="AJ29" s="60" t="e">
        <f>IFERROR(IF(AJ28="-","-",IF(AJ28&gt;=80,"A",IF(AJ28&gt;=60,"B",IF(AJ28&gt;=40,"C",IF(AJ28&gt;=20,"D",IF(AJ28&gt;=0,"E","-")))))),"E")</f>
        <v>#NAME?</v>
      </c>
      <c r="AK29" s="60" t="e">
        <f>IFERROR(IF(AK28="-","-",IF(AK28&gt;=80,"A",IF(AK28&gt;=60,"B",IF(AK28&gt;=40,"C",IF(AK28&gt;=20,"D",IF(AK28&gt;=0,"E","-")))))),"E")</f>
        <v>#NAME?</v>
      </c>
      <c r="AL29" s="60" t="e">
        <f>IFERROR(IF(AL28="-","-",IF(AL28&gt;=80,"A",IF(AL28&gt;=60,"B",IF(AL28&gt;=40,"C",IF(AL28&gt;=20,"D",IF(AL28&gt;=0,"E","-")))))),"E")</f>
        <v>#NAME?</v>
      </c>
      <c r="AM29" s="60" t="e">
        <f>IFERROR(IF(AM28="-","-",IF(AM28&gt;=80,"A",IF(AM28&gt;=60,"B",IF(AM28&gt;=40,"C",IF(AM28&gt;=20,"D",IF(AM28&gt;=0,"E","-")))))),"E")</f>
        <v>#NAME?</v>
      </c>
      <c r="AN29" s="60" t="e">
        <f>IFERROR(IF(AN28="-","-",IF(AN28&gt;=80,"A",IF(AN28&gt;=60,"B",IF(AN28&gt;=40,"C",IF(AN28&gt;=20,"D",IF(AN28&gt;=0,"E","-")))))),"E")</f>
        <v>#NAME?</v>
      </c>
      <c r="AO29" s="60" t="e">
        <f>IFERROR(IF(AO28="-","-",IF(AO28&gt;=80,"A",IF(AO28&gt;=60,"B",IF(AO28&gt;=40,"C",IF(AO28&gt;=20,"D",IF(AO28&gt;=0,"E","-")))))),"E")</f>
        <v>#NAME?</v>
      </c>
      <c r="AP29" s="60" t="e">
        <f>IFERROR(IF(AP28="-","-",IF(AP28&gt;=80,"A",IF(AP28&gt;=60,"B",IF(AP28&gt;=40,"C",IF(AP28&gt;=20,"D",IF(AP28&gt;=0,"E","-")))))),"E")</f>
        <v>#NAME?</v>
      </c>
      <c r="AQ29" s="60" t="e">
        <f>IFERROR(IF(AQ28="-","-",IF(AQ28&gt;=80,"A",IF(AQ28&gt;=60,"B",IF(AQ28&gt;=40,"C",IF(AQ28&gt;=20,"D",IF(AQ28&gt;=0,"E","-")))))),"E")</f>
        <v>#NAME?</v>
      </c>
      <c r="AR29" s="60" t="e">
        <f>IFERROR(IF(AR28="-","-",IF(AR28&gt;=80,"A",IF(AR28&gt;=60,"B",IF(AR28&gt;=40,"C",IF(AR28&gt;=20,"D",IF(AR28&gt;=0,"E","-")))))),"E")</f>
        <v>#NAME?</v>
      </c>
      <c r="AS29" s="60" t="e">
        <f>IFERROR(IF(AS28="-","-",IF(AS28&gt;=80,"A",IF(AS28&gt;=60,"B",IF(AS28&gt;=40,"C",IF(AS28&gt;=20,"D",IF(AS28&gt;=0,"E","-")))))),"E")</f>
        <v>#NAME?</v>
      </c>
      <c r="AT29" s="60" t="e">
        <f>IFERROR(IF(AT28="-","-",IF(AT28&gt;=80,"A",IF(AT28&gt;=60,"B",IF(AT28&gt;=40,"C",IF(AT28&gt;=20,"D",IF(AT28&gt;=0,"E","-")))))),"E")</f>
        <v>#NAME?</v>
      </c>
      <c r="AU29" s="60" t="e">
        <f>IFERROR(IF(AU28="-","-",IF(AU28&gt;=80,"A",IF(AU28&gt;=60,"B",IF(AU28&gt;=40,"C",IF(AU28&gt;=20,"D",IF(AU28&gt;=0,"E","-")))))),"E")</f>
        <v>#NAME?</v>
      </c>
      <c r="AV29" s="60" t="e">
        <f>IFERROR(IF(AV28="-","-",IF(AV28&gt;=80,"A",IF(AV28&gt;=60,"B",IF(AV28&gt;=40,"C",IF(AV28&gt;=20,"D",IF(AV28&gt;=0,"E","-")))))),"E")</f>
        <v>#NAME?</v>
      </c>
      <c r="AW29" s="60" t="e">
        <f>IFERROR(IF(AW28="-","-",IF(AW28&gt;=80,"A",IF(AW28&gt;=60,"B",IF(AW28&gt;=40,"C",IF(AW28&gt;=20,"D",IF(AW28&gt;=0,"E","-")))))),"E")</f>
        <v>#NAME?</v>
      </c>
      <c r="AX29" s="60" t="e">
        <f>IFERROR(IF(AX28="-","-",IF(AX28&gt;=80,"A",IF(AX28&gt;=60,"B",IF(AX28&gt;=40,"C",IF(AX28&gt;=20,"D",IF(AX28&gt;=0,"E","-")))))),"E")</f>
        <v>#NAME?</v>
      </c>
      <c r="AY29" s="60"/>
      <c r="AZ29" s="60"/>
      <c r="BA29" s="60"/>
      <c r="BB29" s="60"/>
      <c r="BC29" s="60"/>
      <c r="BD29" s="60" t="str">
        <f>IFERROR(IF(BD28="-","-",IF(BD28&gt;=80,"A",IF(BD28&gt;=60,"B",IF(BD28&gt;=40,"C",IF(BD28&gt;=20,"D",IF(BD28&gt;=0,"E","-")))))),"E")</f>
        <v>E</v>
      </c>
      <c r="BE29" s="60" t="str">
        <f>IFERROR(IF(BE28="-","-",IF(BE28&gt;=80,"A",IF(BE28&gt;=60,"B",IF(BE28&gt;=40,"C",IF(BE28&gt;=20,"D",IF(BE28&gt;=0,"E","-")))))),"E")</f>
        <v>E</v>
      </c>
      <c r="BF29" s="60" t="str">
        <f>IFERROR(IF(BF28="-","-",IF(BF28&gt;=80,"A",IF(BF28&gt;=60,"B",IF(BF28&gt;=40,"C",IF(BF28&gt;=20,"D",IF(BF28&gt;=0,"E","-")))))),"E")</f>
        <v>E</v>
      </c>
      <c r="BG29" s="60" t="str">
        <f>IFERROR(IF(BG28="-","-",IF(BG28&gt;=80,"A",IF(BG28&gt;=60,"B",IF(BG28&gt;=40,"C",IF(BG28&gt;=20,"D",IF(BG28&gt;=0,"E","-")))))),"E")</f>
        <v>E</v>
      </c>
      <c r="BH29" s="60" t="str">
        <f>IFERROR(IF(BH28="-","-",IF(BH28&gt;=80,"A",IF(BH28&gt;=60,"B",IF(BH28&gt;=40,"C",IF(BH28&gt;=20,"D",IF(BH28&gt;=0,"E","-")))))),"E")</f>
        <v>E</v>
      </c>
      <c r="BI29" s="60" t="str">
        <f>IFERROR(IF(BI28="-","-",IF(BI28&gt;=80,"A",IF(BI28&gt;=60,"B",IF(BI28&gt;=40,"C",IF(BI28&gt;=20,"D",IF(BI28&gt;=0,"E","-")))))),"E")</f>
        <v>E</v>
      </c>
      <c r="BJ29" s="60" t="str">
        <f>IFERROR(IF(BJ28="-","-",IF(BJ28&gt;=80,"A",IF(BJ28&gt;=60,"B",IF(BJ28&gt;=40,"C",IF(BJ28&gt;=20,"D",IF(BJ28&gt;=0,"E","-")))))),"E")</f>
        <v>E</v>
      </c>
      <c r="BK29" s="60" t="str">
        <f>IFERROR(IF(BK28="-","-",IF(BK28&gt;=80,"A",IF(BK28&gt;=60,"B",IF(BK28&gt;=40,"C",IF(BK28&gt;=20,"D",IF(BK28&gt;=0,"E","-")))))),"E")</f>
        <v>E</v>
      </c>
      <c r="BL29" s="60" t="str">
        <f>IFERROR(IF(BL28="-","-",IF(BL28&gt;=80,"A",IF(BL28&gt;=60,"B",IF(BL28&gt;=40,"C",IF(BL28&gt;=20,"D",IF(BL28&gt;=0,"E","-")))))),"E")</f>
        <v>E</v>
      </c>
      <c r="BM29" s="60" t="str">
        <f>IFERROR(IF(BM28="-","-",IF(BM28&gt;=80,"A",IF(BM28&gt;=60,"B",IF(BM28&gt;=40,"C",IF(BM28&gt;=20,"D",IF(BM28&gt;=0,"E","-")))))),"E")</f>
        <v>E</v>
      </c>
      <c r="BN29" s="60" t="str">
        <f>IFERROR(IF(BN28="-","-",IF(BN28&gt;=80,"A",IF(BN28&gt;=60,"B",IF(BN28&gt;=40,"C",IF(BN28&gt;=20,"D",IF(BN28&gt;=0,"E","-")))))),"E")</f>
        <v>E</v>
      </c>
      <c r="BO29" s="60" t="str">
        <f>IFERROR(IF(BO28="-","-",IF(BO28&gt;=80,"A",IF(BO28&gt;=60,"B",IF(BO28&gt;=40,"C",IF(BO28&gt;=20,"D",IF(BO28&gt;=0,"E","-")))))),"E")</f>
        <v>E</v>
      </c>
      <c r="BP29" s="60" t="str">
        <f>IFERROR(IF(BP28="-","-",IF(BP28&gt;=80,"A",IF(BP28&gt;=60,"B",IF(BP28&gt;=40,"C",IF(BP28&gt;=20,"D",IF(BP28&gt;=0,"E","-")))))),"E")</f>
        <v>E</v>
      </c>
      <c r="BQ29" s="60" t="str">
        <f>IFERROR(IF(BQ28="-","-",IF(BQ28&gt;=80,"A",IF(BQ28&gt;=60,"B",IF(BQ28&gt;=40,"C",IF(BQ28&gt;=20,"D",IF(BQ28&gt;=0,"E","-")))))),"E")</f>
        <v>E</v>
      </c>
      <c r="BR29" s="60" t="str">
        <f>IFERROR(IF(BR28="-","-",IF(BR28&gt;=80,"A",IF(BR28&gt;=60,"B",IF(BR28&gt;=40,"C",IF(BR28&gt;=20,"D",IF(BR28&gt;=0,"E","-")))))),"E")</f>
        <v>E</v>
      </c>
      <c r="BS29" s="60" t="str">
        <f>IFERROR(IF(BS28="-","-",IF(BS28&gt;=80,"A",IF(BS28&gt;=60,"B",IF(BS28&gt;=40,"C",IF(BS28&gt;=20,"D",IF(BS28&gt;=0,"E","-")))))),"E")</f>
        <v>E</v>
      </c>
      <c r="BT29" s="60" t="str">
        <f>IFERROR(IF(BT28="-","-",IF(BT28&gt;=80,"A",IF(BT28&gt;=60,"B",IF(BT28&gt;=40,"C",IF(BT28&gt;=20,"D",IF(BT28&gt;=0,"E","-")))))),"E")</f>
        <v>E</v>
      </c>
      <c r="BU29" s="60" t="str">
        <f>IFERROR(IF(BU28="-","-",IF(BU28&gt;=80,"A",IF(BU28&gt;=60,"B",IF(BU28&gt;=40,"C",IF(BU28&gt;=20,"D",IF(BU28&gt;=0,"E","-")))))),"E")</f>
        <v>E</v>
      </c>
      <c r="BV29" s="60" t="str">
        <f>IFERROR(IF(BV28="-","-",IF(BV28&gt;=80,"A",IF(BV28&gt;=60,"B",IF(BV28&gt;=40,"C",IF(BV28&gt;=20,"D",IF(BV28&gt;=0,"E","-")))))),"E")</f>
        <v>E</v>
      </c>
      <c r="BW29" s="60" t="str">
        <f>IFERROR(IF(BW28="-","-",IF(BW28&gt;=80,"A",IF(BW28&gt;=60,"B",IF(BW28&gt;=40,"C",IF(BW28&gt;=20,"D",IF(BW28&gt;=0,"E","-")))))),"E")</f>
        <v>E</v>
      </c>
      <c r="BX29" s="60" t="str">
        <f>IFERROR(IF(BX28="-","-",IF(BX28&gt;=80,"A",IF(BX28&gt;=60,"B",IF(BX28&gt;=40,"C",IF(BX28&gt;=20,"D",IF(BX28&gt;=0,"E","-")))))),"E")</f>
        <v>E</v>
      </c>
      <c r="BY29" s="60" t="str">
        <f>IFERROR(IF(BY28="-","-",IF(BY28&gt;=80,"A",IF(BY28&gt;=60,"B",IF(BY28&gt;=40,"C",IF(BY28&gt;=20,"D",IF(BY28&gt;=0,"E","-")))))),"E")</f>
        <v>E</v>
      </c>
      <c r="BZ29" s="60" t="str">
        <f>IFERROR(IF(BZ28="-","-",IF(BZ28&gt;=80,"A",IF(BZ28&gt;=60,"B",IF(BZ28&gt;=40,"C",IF(BZ28&gt;=20,"D",IF(BZ28&gt;=0,"E","-")))))),"E")</f>
        <v>E</v>
      </c>
      <c r="CA29" s="60" t="str">
        <f>IFERROR(IF(CA28="-","-",IF(CA28&gt;=80,"A",IF(CA28&gt;=60,"B",IF(CA28&gt;=40,"C",IF(CA28&gt;=20,"D",IF(CA28&gt;=0,"E","-")))))),"E")</f>
        <v>E</v>
      </c>
      <c r="CB29" s="60" t="str">
        <f>IFERROR(IF(CB28="-","-",IF(CB28&gt;=80,"A",IF(CB28&gt;=60,"B",IF(CB28&gt;=40,"C",IF(CB28&gt;=20,"D",IF(CB28&gt;=0,"E","-")))))),"E")</f>
        <v>E</v>
      </c>
      <c r="CC29" s="60" t="str">
        <f>IFERROR(IF(CC28="-","-",IF(CC28&gt;=80,"A",IF(CC28&gt;=60,"B",IF(CC28&gt;=40,"C",IF(CC28&gt;=20,"D",IF(CC28&gt;=0,"E","-")))))),"E")</f>
        <v>E</v>
      </c>
      <c r="CD29" s="60" t="str">
        <f>IFERROR(IF(CD28="-","-",IF(CD28&gt;=80,"A",IF(CD28&gt;=60,"B",IF(CD28&gt;=40,"C",IF(CD28&gt;=20,"D",IF(CD28&gt;=0,"E","-")))))),"E")</f>
        <v>E</v>
      </c>
      <c r="CE29" s="60" t="str">
        <f>IFERROR(IF(CE28="-","-",IF(CE28&gt;=80,"A",IF(CE28&gt;=60,"B",IF(CE28&gt;=40,"C",IF(CE28&gt;=20,"D",IF(CE28&gt;=0,"E","-")))))),"E")</f>
        <v>E</v>
      </c>
      <c r="CF29" s="60" t="str">
        <f>IFERROR(IF(CF28="-","-",IF(CF28&gt;=80,"A",IF(CF28&gt;=60,"B",IF(CF28&gt;=40,"C",IF(CF28&gt;=20,"D",IF(CF28&gt;=0,"E","-")))))),"E")</f>
        <v>E</v>
      </c>
      <c r="CG29" s="60" t="str">
        <f>IFERROR(IF(CG28="-","-",IF(CG28&gt;=80,"A",IF(CG28&gt;=60,"B",IF(CG28&gt;=40,"C",IF(CG28&gt;=20,"D",IF(CG28&gt;=0,"E","-")))))),"E")</f>
        <v>E</v>
      </c>
      <c r="CH29" s="60" t="str">
        <f>IFERROR(IF(CH28="-","-",IF(CH28&gt;=80,"A",IF(CH28&gt;=60,"B",IF(CH28&gt;=40,"C",IF(CH28&gt;=20,"D",IF(CH28&gt;=0,"E","-")))))),"E")</f>
        <v>E</v>
      </c>
      <c r="CI29" s="60" t="str">
        <f>IFERROR(IF(CI28="-","-",IF(CI28&gt;=80,"A",IF(CI28&gt;=60,"B",IF(CI28&gt;=40,"C",IF(CI28&gt;=20,"D",IF(CI28&gt;=0,"E","-")))))),"E")</f>
        <v>E</v>
      </c>
      <c r="CJ29" s="60" t="str">
        <f>IFERROR(IF(CJ28="-","-",IF(CJ28&gt;=80,"A",IF(CJ28&gt;=60,"B",IF(CJ28&gt;=40,"C",IF(CJ28&gt;=20,"D",IF(CJ28&gt;=0,"E","-")))))),"E")</f>
        <v>E</v>
      </c>
      <c r="CK29" s="60" t="str">
        <f>IFERROR(IF(CK28="-","-",IF(CK28&gt;=80,"A",IF(CK28&gt;=60,"B",IF(CK28&gt;=40,"C",IF(CK28&gt;=20,"D",IF(CK28&gt;=0,"E","-")))))),"E")</f>
        <v>E</v>
      </c>
      <c r="CL29" s="60" t="str">
        <f>IFERROR(IF(CL28="-","-",IF(CL28&gt;=80,"A",IF(CL28&gt;=60,"B",IF(CL28&gt;=40,"C",IF(CL28&gt;=20,"D",IF(CL28&gt;=0,"E","-")))))),"E")</f>
        <v>E</v>
      </c>
      <c r="CM29" s="60" t="str">
        <f>IFERROR(IF(CM28="-","-",IF(CM28&gt;=80,"A",IF(CM28&gt;=60,"B",IF(CM28&gt;=40,"C",IF(CM28&gt;=20,"D",IF(CM28&gt;=0,"E","-")))))),"E")</f>
        <v>E</v>
      </c>
      <c r="CN29" s="60" t="str">
        <f>IFERROR(IF(CN28="-","-",IF(CN28&gt;=80,"A",IF(CN28&gt;=60,"B",IF(CN28&gt;=40,"C",IF(CN28&gt;=20,"D",IF(CN28&gt;=0,"E","-")))))),"E")</f>
        <v>E</v>
      </c>
      <c r="CO29" s="60" t="str">
        <f>IFERROR(IF(CO28="-","-",IF(CO28&gt;=80,"A",IF(CO28&gt;=60,"B",IF(CO28&gt;=40,"C",IF(CO28&gt;=20,"D",IF(CO28&gt;=0,"E","-")))))),"E")</f>
        <v>E</v>
      </c>
      <c r="CP29" s="60" t="str">
        <f>IFERROR(IF(CP28="-","-",IF(CP28&gt;=80,"A",IF(CP28&gt;=60,"B",IF(CP28&gt;=40,"C",IF(CP28&gt;=20,"D",IF(CP28&gt;=0,"E","-")))))),"E")</f>
        <v>E</v>
      </c>
      <c r="CQ29" s="60" t="str">
        <f>IFERROR(IF(CQ28="-","-",IF(CQ28&gt;=80,"A",IF(CQ28&gt;=60,"B",IF(CQ28&gt;=40,"C",IF(CQ28&gt;=20,"D",IF(CQ28&gt;=0,"E","-")))))),"E")</f>
        <v>E</v>
      </c>
      <c r="CR29" s="60" t="str">
        <f>IFERROR(IF(CR28="-","-",IF(CR28&gt;=80,"A",IF(CR28&gt;=60,"B",IF(CR28&gt;=40,"C",IF(CR28&gt;=20,"D",IF(CR28&gt;=0,"E","-")))))),"E")</f>
        <v>E</v>
      </c>
      <c r="CS29" s="60" t="str">
        <f>IFERROR(IF(CS28="-","-",IF(CS28&gt;=80,"A",IF(CS28&gt;=60,"B",IF(CS28&gt;=40,"C",IF(CS28&gt;=20,"D",IF(CS28&gt;=0,"E","-")))))),"E")</f>
        <v>E</v>
      </c>
      <c r="CT29" s="60" t="str">
        <f>IFERROR(IF(CT28="-","-",IF(CT28&gt;=80,"A",IF(CT28&gt;=60,"B",IF(CT28&gt;=40,"C",IF(CT28&gt;=20,"D",IF(CT28&gt;=0,"E","-")))))),"E")</f>
        <v>E</v>
      </c>
      <c r="CU29" s="60" t="str">
        <f>IFERROR(IF(CU28="-","-",IF(CU28&gt;=80,"A",IF(CU28&gt;=60,"B",IF(CU28&gt;=40,"C",IF(CU28&gt;=20,"D",IF(CU28&gt;=0,"E","-")))))),"E")</f>
        <v>E</v>
      </c>
      <c r="CV29" s="60" t="str">
        <f>IFERROR(IF(CV28="-","-",IF(CV28&gt;=80,"A",IF(CV28&gt;=60,"B",IF(CV28&gt;=40,"C",IF(CV28&gt;=20,"D",IF(CV28&gt;=0,"E","-")))))),"E")</f>
        <v>E</v>
      </c>
      <c r="CW29" s="60" t="str">
        <f>IFERROR(IF(CW28="-","-",IF(CW28&gt;=80,"A",IF(CW28&gt;=60,"B",IF(CW28&gt;=40,"C",IF(CW28&gt;=20,"D",IF(CW28&gt;=0,"E","-")))))),"E")</f>
        <v>E</v>
      </c>
      <c r="CX29" s="60" t="str">
        <f>IFERROR(IF(CX28="-","-",IF(CX28&gt;=80,"A",IF(CX28&gt;=60,"B",IF(CX28&gt;=40,"C",IF(CX28&gt;=20,"D",IF(CX28&gt;=0,"E","-")))))),"E")</f>
        <v>E</v>
      </c>
      <c r="CY29" s="60" t="str">
        <f>IFERROR(IF(CY28="-","-",IF(CY28&gt;=80,"A",IF(CY28&gt;=60,"B",IF(CY28&gt;=40,"C",IF(CY28&gt;=20,"D",IF(CY28&gt;=0,"E","-")))))),"E")</f>
        <v>E</v>
      </c>
      <c r="CZ29" s="60" t="str">
        <f>IFERROR(IF(CZ28="-","-",IF(CZ28&gt;=80,"A",IF(CZ28&gt;=60,"B",IF(CZ28&gt;=40,"C",IF(CZ28&gt;=20,"D",IF(CZ28&gt;=0,"E","-")))))),"E")</f>
        <v>E</v>
      </c>
      <c r="DA29" s="60" t="str">
        <f>IFERROR(IF(DA28="-","-",IF(DA28&gt;=80,"A",IF(DA28&gt;=60,"B",IF(DA28&gt;=40,"C",IF(DA28&gt;=20,"D",IF(DA28&gt;=0,"E","-")))))),"E")</f>
        <v>E</v>
      </c>
      <c r="DB29" s="60" t="str">
        <f>IFERROR(IF(DB28="-","-",IF(DB28&gt;=80,"A",IF(DB28&gt;=60,"B",IF(DB28&gt;=40,"C",IF(DB28&gt;=20,"D",IF(DB28&gt;=0,"E","-")))))),"E")</f>
        <v>E</v>
      </c>
      <c r="DC29" s="60" t="str">
        <f>IFERROR(IF(DC28="-","-",IF(DC28&gt;=80,"A",IF(DC28&gt;=60,"B",IF(DC28&gt;=40,"C",IF(DC28&gt;=20,"D",IF(DC28&gt;=0,"E","-")))))),"E")</f>
        <v>E</v>
      </c>
      <c r="DD29" s="60" t="str">
        <f>IFERROR(IF(DD28="-","-",IF(DD28&gt;=80,"A",IF(DD28&gt;=60,"B",IF(DD28&gt;=40,"C",IF(DD28&gt;=20,"D",IF(DD28&gt;=0,"E","-")))))),"E")</f>
        <v>E</v>
      </c>
      <c r="DE29" s="60" t="str">
        <f>IFERROR(IF(DE28="-","-",IF(DE28&gt;=80,"A",IF(DE28&gt;=60,"B",IF(DE28&gt;=40,"C",IF(DE28&gt;=20,"D",IF(DE28&gt;=0,"E","-")))))),"E")</f>
        <v>E</v>
      </c>
      <c r="DF29" s="60" t="str">
        <f>IFERROR(IF(DF28="-","-",IF(DF28&gt;=80,"A",IF(DF28&gt;=60,"B",IF(DF28&gt;=40,"C",IF(DF28&gt;=20,"D",IF(DF28&gt;=0,"E","-")))))),"E")</f>
        <v>E</v>
      </c>
      <c r="DG29" s="60" t="str">
        <f>IFERROR(IF(DG28="-","-",IF(DG28&gt;=80,"A",IF(DG28&gt;=60,"B",IF(DG28&gt;=40,"C",IF(DG28&gt;=20,"D",IF(DG28&gt;=0,"E","-")))))),"E")</f>
        <v>E</v>
      </c>
      <c r="DH29" s="60" t="str">
        <f>IFERROR(IF(DH28="-","-",IF(DH28&gt;=80,"A",IF(DH28&gt;=60,"B",IF(DH28&gt;=40,"C",IF(DH28&gt;=20,"D",IF(DH28&gt;=0,"E","-")))))),"E")</f>
        <v>E</v>
      </c>
      <c r="DI29" s="60" t="str">
        <f>IFERROR(IF(DI28="-","-",IF(DI28&gt;=80,"A",IF(DI28&gt;=60,"B",IF(DI28&gt;=40,"C",IF(DI28&gt;=20,"D",IF(DI28&gt;=0,"E","-")))))),"E")</f>
        <v>E</v>
      </c>
      <c r="DJ29" s="60" t="str">
        <f>IFERROR(IF(DJ28="-","-",IF(DJ28&gt;=80,"A",IF(DJ28&gt;=60,"B",IF(DJ28&gt;=40,"C",IF(DJ28&gt;=20,"D",IF(DJ28&gt;=0,"E","-")))))),"E")</f>
        <v>E</v>
      </c>
      <c r="DK29" s="60" t="str">
        <f>IFERROR(IF(DK28="-","-",IF(DK28&gt;=80,"A",IF(DK28&gt;=60,"B",IF(DK28&gt;=40,"C",IF(DK28&gt;=20,"D",IF(DK28&gt;=0,"E","-")))))),"E")</f>
        <v>E</v>
      </c>
      <c r="DL29" s="60" t="str">
        <f>IFERROR(IF(DL28="-","-",IF(DL28&gt;=80,"A",IF(DL28&gt;=60,"B",IF(DL28&gt;=40,"C",IF(DL28&gt;=20,"D",IF(DL28&gt;=0,"E","-")))))),"E")</f>
        <v>E</v>
      </c>
      <c r="DM29" s="60" t="str">
        <f>IFERROR(IF(DM28="-","-",IF(DM28&gt;=80,"A",IF(DM28&gt;=60,"B",IF(DM28&gt;=40,"C",IF(DM28&gt;=20,"D",IF(DM28&gt;=0,"E","-")))))),"E")</f>
        <v>E</v>
      </c>
      <c r="DN29" s="60" t="str">
        <f>IFERROR(IF(DN28="-","-",IF(DN28&gt;=80,"A",IF(DN28&gt;=60,"B",IF(DN28&gt;=40,"C",IF(DN28&gt;=20,"D",IF(DN28&gt;=0,"E","-")))))),"E")</f>
        <v>E</v>
      </c>
      <c r="DO29" s="60" t="str">
        <f>IFERROR(IF(DO28="-","-",IF(DO28&gt;=80,"A",IF(DO28&gt;=60,"B",IF(DO28&gt;=40,"C",IF(DO28&gt;=20,"D",IF(DO28&gt;=0,"E","-")))))),"E")</f>
        <v>E</v>
      </c>
      <c r="DP29" s="60" t="str">
        <f>IFERROR(IF(DP28="-","-",IF(DP28&gt;=80,"A",IF(DP28&gt;=60,"B",IF(DP28&gt;=40,"C",IF(DP28&gt;=20,"D",IF(DP28&gt;=0,"E","-")))))),"E")</f>
        <v>E</v>
      </c>
      <c r="DQ29" s="60" t="str">
        <f>IFERROR(IF(DQ28="-","-",IF(DQ28&gt;=80,"A",IF(DQ28&gt;=60,"B",IF(DQ28&gt;=40,"C",IF(DQ28&gt;=20,"D",IF(DQ28&gt;=0,"E","-")))))),"E")</f>
        <v>E</v>
      </c>
      <c r="DR29" s="60" t="str">
        <f>IFERROR(IF(DR28="-","-",IF(DR28&gt;=80,"A",IF(DR28&gt;=60,"B",IF(DR28&gt;=40,"C",IF(DR28&gt;=20,"D",IF(DR28&gt;=0,"E","-")))))),"E")</f>
        <v>E</v>
      </c>
      <c r="DS29" s="60" t="str">
        <f>IFERROR(IF(DS28="-","-",IF(DS28&gt;=80,"A",IF(DS28&gt;=60,"B",IF(DS28&gt;=40,"C",IF(DS28&gt;=20,"D",IF(DS28&gt;=0,"E","-")))))),"E")</f>
        <v>E</v>
      </c>
      <c r="DT29" s="60" t="str">
        <f>IFERROR(IF(DT28="-","-",IF(DT28&gt;=80,"A",IF(DT28&gt;=60,"B",IF(DT28&gt;=40,"C",IF(DT28&gt;=20,"D",IF(DT28&gt;=0,"E","-")))))),"E")</f>
        <v>E</v>
      </c>
      <c r="DU29" s="60" t="str">
        <f>IFERROR(IF(DU28="-","-",IF(DU28&gt;=80,"A",IF(DU28&gt;=60,"B",IF(DU28&gt;=40,"C",IF(DU28&gt;=20,"D",IF(DU28&gt;=0,"E","-")))))),"E")</f>
        <v>E</v>
      </c>
      <c r="DV29" s="60" t="str">
        <f>IFERROR(IF(DV28="-","-",IF(DV28&gt;=80,"A",IF(DV28&gt;=60,"B",IF(DV28&gt;=40,"C",IF(DV28&gt;=20,"D",IF(DV28&gt;=0,"E","-")))))),"E")</f>
        <v>E</v>
      </c>
      <c r="DW29" s="60" t="str">
        <f>IFERROR(IF(DW28="-","-",IF(DW28&gt;=80,"A",IF(DW28&gt;=60,"B",IF(DW28&gt;=40,"C",IF(DW28&gt;=20,"D",IF(DW28&gt;=0,"E","-")))))),"E")</f>
        <v>E</v>
      </c>
      <c r="DX29" s="60" t="str">
        <f>IFERROR(IF(DX28="-","-",IF(DX28&gt;=80,"A",IF(DX28&gt;=60,"B",IF(DX28&gt;=40,"C",IF(DX28&gt;=20,"D",IF(DX28&gt;=0,"E","-")))))),"E")</f>
        <v>E</v>
      </c>
      <c r="DY29" s="60" t="str">
        <f>IFERROR(IF(DY28="-","-",IF(DY28&gt;=80,"A",IF(DY28&gt;=60,"B",IF(DY28&gt;=40,"C",IF(DY28&gt;=20,"D",IF(DY28&gt;=0,"E","-")))))),"E")</f>
        <v>E</v>
      </c>
      <c r="DZ29" s="60" t="str">
        <f>IFERROR(IF(DZ28="-","-",IF(DZ28&gt;=80,"A",IF(DZ28&gt;=60,"B",IF(DZ28&gt;=40,"C",IF(DZ28&gt;=20,"D",IF(DZ28&gt;=0,"E","-")))))),"E")</f>
        <v>E</v>
      </c>
      <c r="EA29" s="60" t="str">
        <f>IFERROR(IF(EA28="-","-",IF(EA28&gt;=80,"A",IF(EA28&gt;=60,"B",IF(EA28&gt;=40,"C",IF(EA28&gt;=20,"D",IF(EA28&gt;=0,"E","-")))))),"E")</f>
        <v>E</v>
      </c>
      <c r="EB29" s="60" t="str">
        <f>IFERROR(IF(EB28="-","-",IF(EB28&gt;=80,"A",IF(EB28&gt;=60,"B",IF(EB28&gt;=40,"C",IF(EB28&gt;=20,"D",IF(EB28&gt;=0,"E","-")))))),"E")</f>
        <v>E</v>
      </c>
      <c r="EC29" s="60" t="str">
        <f>IFERROR(IF(EC28="-","-",IF(EC28&gt;=80,"A",IF(EC28&gt;=60,"B",IF(EC28&gt;=40,"C",IF(EC28&gt;=20,"D",IF(EC28&gt;=0,"E","-")))))),"E")</f>
        <v>E</v>
      </c>
      <c r="ED29" s="60" t="str">
        <f>IFERROR(IF(ED28="-","-",IF(ED28&gt;=80,"A",IF(ED28&gt;=60,"B",IF(ED28&gt;=40,"C",IF(ED28&gt;=20,"D",IF(ED28&gt;=0,"E","-")))))),"E")</f>
        <v>E</v>
      </c>
      <c r="EE29" s="60" t="str">
        <f>IFERROR(IF(EE28="-","-",IF(EE28&gt;=80,"A",IF(EE28&gt;=60,"B",IF(EE28&gt;=40,"C",IF(EE28&gt;=20,"D",IF(EE28&gt;=0,"E","-")))))),"E")</f>
        <v>E</v>
      </c>
      <c r="EF29" s="60" t="str">
        <f>IFERROR(IF(EF28="-","-",IF(EF28&gt;=80,"A",IF(EF28&gt;=60,"B",IF(EF28&gt;=40,"C",IF(EF28&gt;=20,"D",IF(EF28&gt;=0,"E","-")))))),"E")</f>
        <v>E</v>
      </c>
      <c r="EG29" s="60" t="str">
        <f>IFERROR(IF(EG28="-","-",IF(EG28&gt;=80,"A",IF(EG28&gt;=60,"B",IF(EG28&gt;=40,"C",IF(EG28&gt;=20,"D",IF(EG28&gt;=0,"E","-")))))),"E")</f>
        <v>E</v>
      </c>
      <c r="EH29" s="60" t="str">
        <f>IFERROR(IF(EH28="-","-",IF(EH28&gt;=80,"A",IF(EH28&gt;=60,"B",IF(EH28&gt;=40,"C",IF(EH28&gt;=20,"D",IF(EH28&gt;=0,"E","-")))))),"E")</f>
        <v>E</v>
      </c>
      <c r="EI29" s="60" t="str">
        <f>IFERROR(IF(EI28="-","-",IF(EI28&gt;=80,"A",IF(EI28&gt;=60,"B",IF(EI28&gt;=40,"C",IF(EI28&gt;=20,"D",IF(EI28&gt;=0,"E","-")))))),"E")</f>
        <v>E</v>
      </c>
      <c r="EJ29" s="60" t="str">
        <f>IFERROR(IF(EJ28="-","-",IF(EJ28&gt;=80,"A",IF(EJ28&gt;=60,"B",IF(EJ28&gt;=40,"C",IF(EJ28&gt;=20,"D",IF(EJ28&gt;=0,"E","-")))))),"E")</f>
        <v>E</v>
      </c>
      <c r="EK29" s="60" t="str">
        <f>IFERROR(IF(EK28="-","-",IF(EK28&gt;=80,"A",IF(EK28&gt;=60,"B",IF(EK28&gt;=40,"C",IF(EK28&gt;=20,"D",IF(EK28&gt;=0,"E","-")))))),"E")</f>
        <v>E</v>
      </c>
      <c r="EL29" s="60" t="str">
        <f>IFERROR(IF(EL28="-","-",IF(EL28&gt;=80,"A",IF(EL28&gt;=60,"B",IF(EL28&gt;=40,"C",IF(EL28&gt;=20,"D",IF(EL28&gt;=0,"E","-")))))),"E")</f>
        <v>E</v>
      </c>
      <c r="EM29" s="60" t="str">
        <f>IFERROR(IF(EM28="-","-",IF(EM28&gt;=80,"A",IF(EM28&gt;=60,"B",IF(EM28&gt;=40,"C",IF(EM28&gt;=20,"D",IF(EM28&gt;=0,"E","-")))))),"E")</f>
        <v>E</v>
      </c>
      <c r="EN29" s="60" t="str">
        <f>IFERROR(IF(EN28="-","-",IF(EN28&gt;=80,"A",IF(EN28&gt;=60,"B",IF(EN28&gt;=40,"C",IF(EN28&gt;=20,"D",IF(EN28&gt;=0,"E","-")))))),"E")</f>
        <v>E</v>
      </c>
      <c r="EO29" s="60" t="str">
        <f>IFERROR(IF(EO28="-","-",IF(EO28&gt;=80,"A",IF(EO28&gt;=60,"B",IF(EO28&gt;=40,"C",IF(EO28&gt;=20,"D",IF(EO28&gt;=0,"E","-")))))),"E")</f>
        <v>E</v>
      </c>
      <c r="EP29" s="60" t="str">
        <f>IFERROR(IF(EP28="-","-",IF(EP28&gt;=80,"A",IF(EP28&gt;=60,"B",IF(EP28&gt;=40,"C",IF(EP28&gt;=20,"D",IF(EP28&gt;=0,"E","-")))))),"E")</f>
        <v>E</v>
      </c>
      <c r="EQ29" s="60" t="str">
        <f>IFERROR(IF(EQ28="-","-",IF(EQ28&gt;=80,"A",IF(EQ28&gt;=60,"B",IF(EQ28&gt;=40,"C",IF(EQ28&gt;=20,"D",IF(EQ28&gt;=0,"E","-")))))),"E")</f>
        <v>E</v>
      </c>
      <c r="ER29" s="60" t="str">
        <f>IFERROR(IF(ER28="-","-",IF(ER28&gt;=80,"A",IF(ER28&gt;=60,"B",IF(ER28&gt;=40,"C",IF(ER28&gt;=20,"D",IF(ER28&gt;=0,"E","-")))))),"E")</f>
        <v>E</v>
      </c>
      <c r="ES29" s="60" t="str">
        <f>IFERROR(IF(ES28="-","-",IF(ES28&gt;=80,"A",IF(ES28&gt;=60,"B",IF(ES28&gt;=40,"C",IF(ES28&gt;=20,"D",IF(ES28&gt;=0,"E","-")))))),"E")</f>
        <v>E</v>
      </c>
      <c r="ET29" s="60" t="str">
        <f>IFERROR(IF(ET28="-","-",IF(ET28&gt;=80,"A",IF(ET28&gt;=60,"B",IF(ET28&gt;=40,"C",IF(ET28&gt;=20,"D",IF(ET28&gt;=0,"E","-")))))),"E")</f>
        <v>E</v>
      </c>
      <c r="EU29" s="60" t="str">
        <f>IFERROR(IF(EU28="-","-",IF(EU28&gt;=80,"A",IF(EU28&gt;=60,"B",IF(EU28&gt;=40,"C",IF(EU28&gt;=20,"D",IF(EU28&gt;=0,"E","-")))))),"E")</f>
        <v>E</v>
      </c>
      <c r="EV29" s="60" t="str">
        <f>IFERROR(IF(EV28="-","-",IF(EV28&gt;=80,"A",IF(EV28&gt;=60,"B",IF(EV28&gt;=40,"C",IF(EV28&gt;=20,"D",IF(EV28&gt;=0,"E","-")))))),"E")</f>
        <v>E</v>
      </c>
      <c r="EW29" s="60" t="str">
        <f>IFERROR(IF(EW28="-","-",IF(EW28&gt;=80,"A",IF(EW28&gt;=60,"B",IF(EW28&gt;=40,"C",IF(EW28&gt;=20,"D",IF(EW28&gt;=0,"E","-")))))),"E")</f>
        <v>E</v>
      </c>
      <c r="EX29" s="60" t="str">
        <f>IFERROR(IF(EX28="-","-",IF(EX28&gt;=80,"A",IF(EX28&gt;=60,"B",IF(EX28&gt;=40,"C",IF(EX28&gt;=20,"D",IF(EX28&gt;=0,"E","-")))))),"E")</f>
        <v>E</v>
      </c>
      <c r="EY29" s="60" t="str">
        <f>IFERROR(IF(EY28="-","-",IF(EY28&gt;=80,"A",IF(EY28&gt;=60,"B",IF(EY28&gt;=40,"C",IF(EY28&gt;=20,"D",IF(EY28&gt;=0,"E","-")))))),"E")</f>
        <v>E</v>
      </c>
      <c r="EZ29" s="60" t="str">
        <f>IFERROR(IF(EZ28="-","-",IF(EZ28&gt;=80,"A",IF(EZ28&gt;=60,"B",IF(EZ28&gt;=40,"C",IF(EZ28&gt;=20,"D",IF(EZ28&gt;=0,"E","-")))))),"E")</f>
        <v>E</v>
      </c>
      <c r="FA29" s="60" t="str">
        <f>IFERROR(IF(FA28="-","-",IF(FA28&gt;=80,"A",IF(FA28&gt;=60,"B",IF(FA28&gt;=40,"C",IF(FA28&gt;=20,"D",IF(FA28&gt;=0,"E","-")))))),"E")</f>
        <v>E</v>
      </c>
      <c r="FB29" s="60" t="str">
        <f>IFERROR(IF(FB28="-","-",IF(FB28&gt;=80,"A",IF(FB28&gt;=60,"B",IF(FB28&gt;=40,"C",IF(FB28&gt;=20,"D",IF(FB28&gt;=0,"E","-")))))),"E")</f>
        <v>E</v>
      </c>
      <c r="FC29" s="60" t="str">
        <f>IFERROR(IF(FC28="-","-",IF(FC28&gt;=80,"A",IF(FC28&gt;=60,"B",IF(FC28&gt;=40,"C",IF(FC28&gt;=20,"D",IF(FC28&gt;=0,"E","-")))))),"E")</f>
        <v>E</v>
      </c>
      <c r="FD29" s="60" t="str">
        <f>IFERROR(IF(FD28="-","-",IF(FD28&gt;=80,"A",IF(FD28&gt;=60,"B",IF(FD28&gt;=40,"C",IF(FD28&gt;=20,"D",IF(FD28&gt;=0,"E","-")))))),"E")</f>
        <v>E</v>
      </c>
      <c r="FE29" s="60" t="str">
        <f>IFERROR(IF(FE28="-","-",IF(FE28&gt;=80,"A",IF(FE28&gt;=60,"B",IF(FE28&gt;=40,"C",IF(FE28&gt;=20,"D",IF(FE28&gt;=0,"E","-")))))),"E")</f>
        <v>E</v>
      </c>
      <c r="FF29" s="60" t="str">
        <f>IFERROR(IF(FF28="-","-",IF(FF28&gt;=80,"A",IF(FF28&gt;=60,"B",IF(FF28&gt;=40,"C",IF(FF28&gt;=20,"D",IF(FF28&gt;=0,"E","-")))))),"E")</f>
        <v>E</v>
      </c>
      <c r="FG29" s="60" t="str">
        <f>IFERROR(IF(FG28="-","-",IF(FG28&gt;=80,"A",IF(FG28&gt;=60,"B",IF(FG28&gt;=40,"C",IF(FG28&gt;=20,"D",IF(FG28&gt;=0,"E","-")))))),"E")</f>
        <v>E</v>
      </c>
      <c r="FH29" s="60" t="str">
        <f>IFERROR(IF(FH28="-","-",IF(FH28&gt;=80,"A",IF(FH28&gt;=60,"B",IF(FH28&gt;=40,"C",IF(FH28&gt;=20,"D",IF(FH28&gt;=0,"E","-")))))),"E")</f>
        <v>E</v>
      </c>
      <c r="FI29" s="60" t="str">
        <f>IFERROR(IF(FI28="-","-",IF(FI28&gt;=80,"A",IF(FI28&gt;=60,"B",IF(FI28&gt;=40,"C",IF(FI28&gt;=20,"D",IF(FI28&gt;=0,"E","-")))))),"E")</f>
        <v>E</v>
      </c>
      <c r="FJ29" s="60" t="str">
        <f>IFERROR(IF(FJ28="-","-",IF(FJ28&gt;=80,"A",IF(FJ28&gt;=60,"B",IF(FJ28&gt;=40,"C",IF(FJ28&gt;=20,"D",IF(FJ28&gt;=0,"E","-")))))),"E")</f>
        <v>E</v>
      </c>
      <c r="FK29" s="60" t="str">
        <f>IFERROR(IF(FK28="-","-",IF(FK28&gt;=80,"A",IF(FK28&gt;=60,"B",IF(FK28&gt;=40,"C",IF(FK28&gt;=20,"D",IF(FK28&gt;=0,"E","-")))))),"E")</f>
        <v>E</v>
      </c>
      <c r="FL29" s="60" t="str">
        <f>IFERROR(IF(FL28="-","-",IF(FL28&gt;=80,"A",IF(FL28&gt;=60,"B",IF(FL28&gt;=40,"C",IF(FL28&gt;=20,"D",IF(FL28&gt;=0,"E","-")))))),"E")</f>
        <v>E</v>
      </c>
      <c r="FM29" s="60" t="str">
        <f>IFERROR(IF(FM28="-","-",IF(FM28&gt;=80,"A",IF(FM28&gt;=60,"B",IF(FM28&gt;=40,"C",IF(FM28&gt;=20,"D",IF(FM28&gt;=0,"E","-")))))),"E")</f>
        <v>E</v>
      </c>
      <c r="FN29" s="60" t="str">
        <f>IFERROR(IF(FN28="-","-",IF(FN28&gt;=80,"A",IF(FN28&gt;=60,"B",IF(FN28&gt;=40,"C",IF(FN28&gt;=20,"D",IF(FN28&gt;=0,"E","-")))))),"E")</f>
        <v>E</v>
      </c>
      <c r="FO29" s="60" t="str">
        <f>IFERROR(IF(FO28="-","-",IF(FO28&gt;=80,"A",IF(FO28&gt;=60,"B",IF(FO28&gt;=40,"C",IF(FO28&gt;=20,"D",IF(FO28&gt;=0,"E","-")))))),"E")</f>
        <v>E</v>
      </c>
      <c r="FP29" s="60" t="str">
        <f>IFERROR(IF(FP28="-","-",IF(FP28&gt;=80,"A",IF(FP28&gt;=60,"B",IF(FP28&gt;=40,"C",IF(FP28&gt;=20,"D",IF(FP28&gt;=0,"E","-")))))),"E")</f>
        <v>E</v>
      </c>
      <c r="FQ29" s="60" t="str">
        <f>IFERROR(IF(FQ28="-","-",IF(FQ28&gt;=80,"A",IF(FQ28&gt;=60,"B",IF(FQ28&gt;=40,"C",IF(FQ28&gt;=20,"D",IF(FQ28&gt;=0,"E","-")))))),"E")</f>
        <v>E</v>
      </c>
      <c r="FR29" s="60" t="str">
        <f>IFERROR(IF(FR28="-","-",IF(FR28&gt;=80,"A",IF(FR28&gt;=60,"B",IF(FR28&gt;=40,"C",IF(FR28&gt;=20,"D",IF(FR28&gt;=0,"E","-")))))),"E")</f>
        <v>E</v>
      </c>
      <c r="FS29" s="60" t="str">
        <f>IFERROR(IF(FS28="-","-",IF(FS28&gt;=80,"A",IF(FS28&gt;=60,"B",IF(FS28&gt;=40,"C",IF(FS28&gt;=20,"D",IF(FS28&gt;=0,"E","-")))))),"E")</f>
        <v>E</v>
      </c>
      <c r="FT29" s="60" t="str">
        <f>IFERROR(IF(FT28="-","-",IF(FT28&gt;=80,"A",IF(FT28&gt;=60,"B",IF(FT28&gt;=40,"C",IF(FT28&gt;=20,"D",IF(FT28&gt;=0,"E","-")))))),"E")</f>
        <v>E</v>
      </c>
      <c r="FU29" s="60" t="str">
        <f>IFERROR(IF(FU28="-","-",IF(FU28&gt;=80,"A",IF(FU28&gt;=60,"B",IF(FU28&gt;=40,"C",IF(FU28&gt;=20,"D",IF(FU28&gt;=0,"E","-")))))),"E")</f>
        <v>E</v>
      </c>
      <c r="FV29" s="60" t="str">
        <f>IFERROR(IF(FV28="-","-",IF(FV28&gt;=80,"A",IF(FV28&gt;=60,"B",IF(FV28&gt;=40,"C",IF(FV28&gt;=20,"D",IF(FV28&gt;=0,"E","-")))))),"E")</f>
        <v>E</v>
      </c>
      <c r="FW29" s="60" t="str">
        <f>IFERROR(IF(FW28="-","-",IF(FW28&gt;=80,"A",IF(FW28&gt;=60,"B",IF(FW28&gt;=40,"C",IF(FW28&gt;=20,"D",IF(FW28&gt;=0,"E","-")))))),"E")</f>
        <v>E</v>
      </c>
      <c r="FX29" s="60" t="str">
        <f>IFERROR(IF(FX28="-","-",IF(FX28&gt;=80,"A",IF(FX28&gt;=60,"B",IF(FX28&gt;=40,"C",IF(FX28&gt;=20,"D",IF(FX28&gt;=0,"E","-")))))),"E")</f>
        <v>E</v>
      </c>
      <c r="FY29" s="60" t="str">
        <f>IFERROR(IF(FY28="-","-",IF(FY28&gt;=80,"A",IF(FY28&gt;=60,"B",IF(FY28&gt;=40,"C",IF(FY28&gt;=20,"D",IF(FY28&gt;=0,"E","-")))))),"E")</f>
        <v>E</v>
      </c>
      <c r="FZ29" s="60" t="str">
        <f>IFERROR(IF(FZ28="-","-",IF(FZ28&gt;=80,"A",IF(FZ28&gt;=60,"B",IF(FZ28&gt;=40,"C",IF(FZ28&gt;=20,"D",IF(FZ28&gt;=0,"E","-")))))),"E")</f>
        <v>E</v>
      </c>
      <c r="GA29" s="60" t="str">
        <f>IFERROR(IF(GA28="-","-",IF(GA28&gt;=80,"A",IF(GA28&gt;=60,"B",IF(GA28&gt;=40,"C",IF(GA28&gt;=20,"D",IF(GA28&gt;=0,"E","-")))))),"E")</f>
        <v>E</v>
      </c>
      <c r="GB29" s="60" t="str">
        <f>IFERROR(IF(GB28="-","-",IF(GB28&gt;=80,"A",IF(GB28&gt;=60,"B",IF(GB28&gt;=40,"C",IF(GB28&gt;=20,"D",IF(GB28&gt;=0,"E","-")))))),"E")</f>
        <v>E</v>
      </c>
      <c r="GC29" s="60" t="str">
        <f>IFERROR(IF(GC28="-","-",IF(GC28&gt;=80,"A",IF(GC28&gt;=60,"B",IF(GC28&gt;=40,"C",IF(GC28&gt;=20,"D",IF(GC28&gt;=0,"E","-")))))),"E")</f>
        <v>E</v>
      </c>
      <c r="GD29" s="60" t="str">
        <f>IFERROR(IF(GD28="-","-",IF(GD28&gt;=80,"A",IF(GD28&gt;=60,"B",IF(GD28&gt;=40,"C",IF(GD28&gt;=20,"D",IF(GD28&gt;=0,"E","-")))))),"E")</f>
        <v>E</v>
      </c>
      <c r="GE29" s="60" t="str">
        <f>IFERROR(IF(GE28="-","-",IF(GE28&gt;=80,"A",IF(GE28&gt;=60,"B",IF(GE28&gt;=40,"C",IF(GE28&gt;=20,"D",IF(GE28&gt;=0,"E","-")))))),"E")</f>
        <v>E</v>
      </c>
      <c r="GF29" s="60" t="str">
        <f>IFERROR(IF(GF28="-","-",IF(GF28&gt;=80,"A",IF(GF28&gt;=60,"B",IF(GF28&gt;=40,"C",IF(GF28&gt;=20,"D",IF(GF28&gt;=0,"E","-")))))),"E")</f>
        <v>E</v>
      </c>
      <c r="GG29" s="60" t="str">
        <f>IFERROR(IF(GG28="-","-",IF(GG28&gt;=80,"A",IF(GG28&gt;=60,"B",IF(GG28&gt;=40,"C",IF(GG28&gt;=20,"D",IF(GG28&gt;=0,"E","-")))))),"E")</f>
        <v>E</v>
      </c>
      <c r="GH29" s="60" t="str">
        <f>IFERROR(IF(GH28="-","-",IF(GH28&gt;=80,"A",IF(GH28&gt;=60,"B",IF(GH28&gt;=40,"C",IF(GH28&gt;=20,"D",IF(GH28&gt;=0,"E","-")))))),"E")</f>
        <v>E</v>
      </c>
      <c r="GI29" s="60" t="str">
        <f>IFERROR(IF(GI28="-","-",IF(GI28&gt;=80,"A",IF(GI28&gt;=60,"B",IF(GI28&gt;=40,"C",IF(GI28&gt;=20,"D",IF(GI28&gt;=0,"E","-")))))),"E")</f>
        <v>E</v>
      </c>
      <c r="GJ29" s="60" t="str">
        <f>IFERROR(IF(GJ28="-","-",IF(GJ28&gt;=80,"A",IF(GJ28&gt;=60,"B",IF(GJ28&gt;=40,"C",IF(GJ28&gt;=20,"D",IF(GJ28&gt;=0,"E","-")))))),"E")</f>
        <v>E</v>
      </c>
      <c r="GK29" s="60" t="str">
        <f>IFERROR(IF(GK28="-","-",IF(GK28&gt;=80,"A",IF(GK28&gt;=60,"B",IF(GK28&gt;=40,"C",IF(GK28&gt;=20,"D",IF(GK28&gt;=0,"E","-")))))),"E")</f>
        <v>E</v>
      </c>
      <c r="GL29" s="60" t="str">
        <f>IFERROR(IF(GL28="-","-",IF(GL28&gt;=80,"A",IF(GL28&gt;=60,"B",IF(GL28&gt;=40,"C",IF(GL28&gt;=20,"D",IF(GL28&gt;=0,"E","-")))))),"E")</f>
        <v>E</v>
      </c>
      <c r="GM29" s="60" t="str">
        <f>IFERROR(IF(GM28="-","-",IF(GM28&gt;=80,"A",IF(GM28&gt;=60,"B",IF(GM28&gt;=40,"C",IF(GM28&gt;=20,"D",IF(GM28&gt;=0,"E","-")))))),"E")</f>
        <v>E</v>
      </c>
      <c r="GN29" s="60" t="str">
        <f>IFERROR(IF(GN28="-","-",IF(GN28&gt;=80,"A",IF(GN28&gt;=60,"B",IF(GN28&gt;=40,"C",IF(GN28&gt;=20,"D",IF(GN28&gt;=0,"E","-")))))),"E")</f>
        <v>E</v>
      </c>
      <c r="GO29" s="60" t="str">
        <f>IFERROR(IF(GO28="-","-",IF(GO28&gt;=80,"A",IF(GO28&gt;=60,"B",IF(GO28&gt;=40,"C",IF(GO28&gt;=20,"D",IF(GO28&gt;=0,"E","-")))))),"E")</f>
        <v>E</v>
      </c>
      <c r="GP29" s="60" t="str">
        <f>IFERROR(IF(GP28="-","-",IF(GP28&gt;=80,"A",IF(GP28&gt;=60,"B",IF(GP28&gt;=40,"C",IF(GP28&gt;=20,"D",IF(GP28&gt;=0,"E","-")))))),"E")</f>
        <v>E</v>
      </c>
      <c r="GQ29" s="60" t="str">
        <f>IFERROR(IF(GQ28="-","-",IF(GQ28&gt;=80,"A",IF(GQ28&gt;=60,"B",IF(GQ28&gt;=40,"C",IF(GQ28&gt;=20,"D",IF(GQ28&gt;=0,"E","-")))))),"E")</f>
        <v>E</v>
      </c>
      <c r="GR29" s="60" t="str">
        <f>IFERROR(IF(GR28="-","-",IF(GR28&gt;=80,"A",IF(GR28&gt;=60,"B",IF(GR28&gt;=40,"C",IF(GR28&gt;=20,"D",IF(GR28&gt;=0,"E","-")))))),"E")</f>
        <v>E</v>
      </c>
      <c r="GS29" s="60" t="str">
        <f>IFERROR(IF(GS28="-","-",IF(GS28&gt;=80,"A",IF(GS28&gt;=60,"B",IF(GS28&gt;=40,"C",IF(GS28&gt;=20,"D",IF(GS28&gt;=0,"E","-")))))),"E")</f>
        <v>E</v>
      </c>
      <c r="GT29" s="60" t="str">
        <f>IFERROR(IF(GT28="-","-",IF(GT28&gt;=80,"A",IF(GT28&gt;=60,"B",IF(GT28&gt;=40,"C",IF(GT28&gt;=20,"D",IF(GT28&gt;=0,"E","-")))))),"E")</f>
        <v>E</v>
      </c>
      <c r="GU29" s="60" t="str">
        <f>IFERROR(IF(GU28="-","-",IF(GU28&gt;=80,"A",IF(GU28&gt;=60,"B",IF(GU28&gt;=40,"C",IF(GU28&gt;=20,"D",IF(GU28&gt;=0,"E","-")))))),"E")</f>
        <v>E</v>
      </c>
      <c r="GV29" s="60" t="str">
        <f>IFERROR(IF(GV28="-","-",IF(GV28&gt;=80,"A",IF(GV28&gt;=60,"B",IF(GV28&gt;=40,"C",IF(GV28&gt;=20,"D",IF(GV28&gt;=0,"E","-")))))),"E")</f>
        <v>E</v>
      </c>
      <c r="GW29" s="60" t="str">
        <f>IFERROR(IF(GW28="-","-",IF(GW28&gt;=80,"A",IF(GW28&gt;=60,"B",IF(GW28&gt;=40,"C",IF(GW28&gt;=20,"D",IF(GW28&gt;=0,"E","-")))))),"E")</f>
        <v>E</v>
      </c>
      <c r="GX29" s="60" t="str">
        <f>IFERROR(IF(GX28="-","-",IF(GX28&gt;=80,"A",IF(GX28&gt;=60,"B",IF(GX28&gt;=40,"C",IF(GX28&gt;=20,"D",IF(GX28&gt;=0,"E","-")))))),"E")</f>
        <v>E</v>
      </c>
      <c r="GY29" s="60" t="str">
        <f>IFERROR(IF(GY28="-","-",IF(GY28&gt;=80,"A",IF(GY28&gt;=60,"B",IF(GY28&gt;=40,"C",IF(GY28&gt;=20,"D",IF(GY28&gt;=0,"E","-")))))),"E")</f>
        <v>E</v>
      </c>
      <c r="GZ29" s="60" t="str">
        <f>IFERROR(IF(GZ28="-","-",IF(GZ28&gt;=80,"A",IF(GZ28&gt;=60,"B",IF(GZ28&gt;=40,"C",IF(GZ28&gt;=20,"D",IF(GZ28&gt;=0,"E","-")))))),"E")</f>
        <v>E</v>
      </c>
      <c r="HA29" s="60" t="str">
        <f>IFERROR(IF(HA28="-","-",IF(HA28&gt;=80,"A",IF(HA28&gt;=60,"B",IF(HA28&gt;=40,"C",IF(HA28&gt;=20,"D",IF(HA28&gt;=0,"E","-")))))),"E")</f>
        <v>E</v>
      </c>
      <c r="HB29" s="60" t="str">
        <f>IFERROR(IF(HB28="-","-",IF(HB28&gt;=80,"A",IF(HB28&gt;=60,"B",IF(HB28&gt;=40,"C",IF(HB28&gt;=20,"D",IF(HB28&gt;=0,"E","-")))))),"E")</f>
        <v>E</v>
      </c>
      <c r="HC29" s="60" t="str">
        <f>IFERROR(IF(HC28="-","-",IF(HC28&gt;=80,"A",IF(HC28&gt;=60,"B",IF(HC28&gt;=40,"C",IF(HC28&gt;=20,"D",IF(HC28&gt;=0,"E","-")))))),"E")</f>
        <v>E</v>
      </c>
      <c r="HD29" s="60" t="str">
        <f>IFERROR(IF(HD28="-","-",IF(HD28&gt;=80,"A",IF(HD28&gt;=60,"B",IF(HD28&gt;=40,"C",IF(HD28&gt;=20,"D",IF(HD28&gt;=0,"E","-")))))),"E")</f>
        <v>E</v>
      </c>
      <c r="HE29" s="60" t="str">
        <f>IFERROR(IF(HE28="-","-",IF(HE28&gt;=80,"A",IF(HE28&gt;=60,"B",IF(HE28&gt;=40,"C",IF(HE28&gt;=20,"D",IF(HE28&gt;=0,"E","-")))))),"E")</f>
        <v>E</v>
      </c>
      <c r="HF29" s="60" t="str">
        <f>IFERROR(IF(HF28="-","-",IF(HF28&gt;=80,"A",IF(HF28&gt;=60,"B",IF(HF28&gt;=40,"C",IF(HF28&gt;=20,"D",IF(HF28&gt;=0,"E","-")))))),"E")</f>
        <v>E</v>
      </c>
      <c r="HG29" s="60" t="str">
        <f>IFERROR(IF(HG28="-","-",IF(HG28&gt;=80,"A",IF(HG28&gt;=60,"B",IF(HG28&gt;=40,"C",IF(HG28&gt;=20,"D",IF(HG28&gt;=0,"E","-")))))),"E")</f>
        <v>E</v>
      </c>
      <c r="HH29" s="60" t="str">
        <f>IFERROR(IF(HH28="-","-",IF(HH28&gt;=80,"A",IF(HH28&gt;=60,"B",IF(HH28&gt;=40,"C",IF(HH28&gt;=20,"D",IF(HH28&gt;=0,"E","-")))))),"E")</f>
        <v>E</v>
      </c>
      <c r="HI29" s="60" t="str">
        <f>IFERROR(IF(HI28="-","-",IF(HI28&gt;=80,"A",IF(HI28&gt;=60,"B",IF(HI28&gt;=40,"C",IF(HI28&gt;=20,"D",IF(HI28&gt;=0,"E","-")))))),"E")</f>
        <v>E</v>
      </c>
      <c r="HJ29" s="60" t="str">
        <f>IFERROR(IF(HJ28="-","-",IF(HJ28&gt;=80,"A",IF(HJ28&gt;=60,"B",IF(HJ28&gt;=40,"C",IF(HJ28&gt;=20,"D",IF(HJ28&gt;=0,"E","-")))))),"E")</f>
        <v>E</v>
      </c>
      <c r="HK29" s="60" t="str">
        <f>IFERROR(IF(HK28="-","-",IF(HK28&gt;=80,"A",IF(HK28&gt;=60,"B",IF(HK28&gt;=40,"C",IF(HK28&gt;=20,"D",IF(HK28&gt;=0,"E","-")))))),"E")</f>
        <v>E</v>
      </c>
      <c r="HL29" s="60" t="str">
        <f>IFERROR(IF(HL28="-","-",IF(HL28&gt;=80,"A",IF(HL28&gt;=60,"B",IF(HL28&gt;=40,"C",IF(HL28&gt;=20,"D",IF(HL28&gt;=0,"E","-")))))),"E")</f>
        <v>E</v>
      </c>
      <c r="HM29" s="60" t="str">
        <f>IFERROR(IF(HM28="-","-",IF(HM28&gt;=80,"A",IF(HM28&gt;=60,"B",IF(HM28&gt;=40,"C",IF(HM28&gt;=20,"D",IF(HM28&gt;=0,"E","-")))))),"E")</f>
        <v>E</v>
      </c>
      <c r="HN29" s="60" t="str">
        <f>IFERROR(IF(HN28="-","-",IF(HN28&gt;=80,"A",IF(HN28&gt;=60,"B",IF(HN28&gt;=40,"C",IF(HN28&gt;=20,"D",IF(HN28&gt;=0,"E","-")))))),"E")</f>
        <v>E</v>
      </c>
      <c r="HO29" s="60" t="str">
        <f>IFERROR(IF(HO28="-","-",IF(HO28&gt;=80,"A",IF(HO28&gt;=60,"B",IF(HO28&gt;=40,"C",IF(HO28&gt;=20,"D",IF(HO28&gt;=0,"E","-")))))),"E")</f>
        <v>E</v>
      </c>
      <c r="HP29" s="60" t="str">
        <f>IFERROR(IF(HP28="-","-",IF(HP28&gt;=80,"A",IF(HP28&gt;=60,"B",IF(HP28&gt;=40,"C",IF(HP28&gt;=20,"D",IF(HP28&gt;=0,"E","-")))))),"E")</f>
        <v>E</v>
      </c>
      <c r="HQ29" s="60" t="str">
        <f>IFERROR(IF(HQ28="-","-",IF(HQ28&gt;=80,"A",IF(HQ28&gt;=60,"B",IF(HQ28&gt;=40,"C",IF(HQ28&gt;=20,"D",IF(HQ28&gt;=0,"E","-")))))),"E")</f>
        <v>E</v>
      </c>
      <c r="HR29" s="60" t="str">
        <f>IFERROR(IF(HR28="-","-",IF(HR28&gt;=80,"A",IF(HR28&gt;=60,"B",IF(HR28&gt;=40,"C",IF(HR28&gt;=20,"D",IF(HR28&gt;=0,"E","-")))))),"E")</f>
        <v>E</v>
      </c>
      <c r="HS29" s="60" t="str">
        <f>IFERROR(IF(HS28="-","-",IF(HS28&gt;=80,"A",IF(HS28&gt;=60,"B",IF(HS28&gt;=40,"C",IF(HS28&gt;=20,"D",IF(HS28&gt;=0,"E","-")))))),"E")</f>
        <v>E</v>
      </c>
      <c r="HT29" s="60" t="str">
        <f>IFERROR(IF(HT28="-","-",IF(HT28&gt;=80,"A",IF(HT28&gt;=60,"B",IF(HT28&gt;=40,"C",IF(HT28&gt;=20,"D",IF(HT28&gt;=0,"E","-")))))),"E")</f>
        <v>E</v>
      </c>
      <c r="HU29" s="60" t="str">
        <f>IFERROR(IF(HU28="-","-",IF(HU28&gt;=80,"A",IF(HU28&gt;=60,"B",IF(HU28&gt;=40,"C",IF(HU28&gt;=20,"D",IF(HU28&gt;=0,"E","-")))))),"E")</f>
        <v>E</v>
      </c>
      <c r="HV29" s="60" t="str">
        <f>IFERROR(IF(HV28="-","-",IF(HV28&gt;=80,"A",IF(HV28&gt;=60,"B",IF(HV28&gt;=40,"C",IF(HV28&gt;=20,"D",IF(HV28&gt;=0,"E","-")))))),"E")</f>
        <v>E</v>
      </c>
      <c r="HW29" s="60" t="str">
        <f>IFERROR(IF(HW28="-","-",IF(HW28&gt;=80,"A",IF(HW28&gt;=60,"B",IF(HW28&gt;=40,"C",IF(HW28&gt;=20,"D",IF(HW28&gt;=0,"E","-")))))),"E")</f>
        <v>E</v>
      </c>
      <c r="HX29" s="60" t="str">
        <f>IFERROR(IF(HX28="-","-",IF(HX28&gt;=80,"A",IF(HX28&gt;=60,"B",IF(HX28&gt;=40,"C",IF(HX28&gt;=20,"D",IF(HX28&gt;=0,"E","-")))))),"E")</f>
        <v>E</v>
      </c>
      <c r="HY29" s="60" t="str">
        <f>IFERROR(IF(HY28="-","-",IF(HY28&gt;=80,"A",IF(HY28&gt;=60,"B",IF(HY28&gt;=40,"C",IF(HY28&gt;=20,"D",IF(HY28&gt;=0,"E","-")))))),"E")</f>
        <v>E</v>
      </c>
      <c r="HZ29" s="60" t="str">
        <f>IFERROR(IF(HZ28="-","-",IF(HZ28&gt;=80,"A",IF(HZ28&gt;=60,"B",IF(HZ28&gt;=40,"C",IF(HZ28&gt;=20,"D",IF(HZ28&gt;=0,"E","-")))))),"E")</f>
        <v>E</v>
      </c>
      <c r="IA29" s="60" t="str">
        <f>IFERROR(IF(IA28="-","-",IF(IA28&gt;=80,"A",IF(IA28&gt;=60,"B",IF(IA28&gt;=40,"C",IF(IA28&gt;=20,"D",IF(IA28&gt;=0,"E","-")))))),"E")</f>
        <v>E</v>
      </c>
      <c r="IB29" s="60" t="str">
        <f>IFERROR(IF(IB28="-","-",IF(IB28&gt;=80,"A",IF(IB28&gt;=60,"B",IF(IB28&gt;=40,"C",IF(IB28&gt;=20,"D",IF(IB28&gt;=0,"E","-")))))),"E")</f>
        <v>E</v>
      </c>
      <c r="IC29" s="60" t="str">
        <f>IFERROR(IF(IC28="-","-",IF(IC28&gt;=80,"A",IF(IC28&gt;=60,"B",IF(IC28&gt;=40,"C",IF(IC28&gt;=20,"D",IF(IC28&gt;=0,"E","-")))))),"E")</f>
        <v>E</v>
      </c>
      <c r="ID29" s="60" t="str">
        <f>IFERROR(IF(ID28="-","-",IF(ID28&gt;=80,"A",IF(ID28&gt;=60,"B",IF(ID28&gt;=40,"C",IF(ID28&gt;=20,"D",IF(ID28&gt;=0,"E","-")))))),"E")</f>
        <v>E</v>
      </c>
      <c r="IE29" s="60" t="str">
        <f>IFERROR(IF(IE28="-","-",IF(IE28&gt;=80,"A",IF(IE28&gt;=60,"B",IF(IE28&gt;=40,"C",IF(IE28&gt;=20,"D",IF(IE28&gt;=0,"E","-")))))),"E")</f>
        <v>E</v>
      </c>
      <c r="IF29" s="60" t="str">
        <f>IFERROR(IF(IF28="-","-",IF(IF28&gt;=80,"A",IF(IF28&gt;=60,"B",IF(IF28&gt;=40,"C",IF(IF28&gt;=20,"D",IF(IF28&gt;=0,"E","-")))))),"E")</f>
        <v>E</v>
      </c>
      <c r="IG29" s="60" t="str">
        <f>IFERROR(IF(IG28="-","-",IF(IG28&gt;=80,"A",IF(IG28&gt;=60,"B",IF(IG28&gt;=40,"C",IF(IG28&gt;=20,"D",IF(IG28&gt;=0,"E","-")))))),"E")</f>
        <v>E</v>
      </c>
      <c r="IH29" s="60" t="str">
        <f>IFERROR(IF(IH28="-","-",IF(IH28&gt;=80,"A",IF(IH28&gt;=60,"B",IF(IH28&gt;=40,"C",IF(IH28&gt;=20,"D",IF(IH28&gt;=0,"E","-")))))),"E")</f>
        <v>E</v>
      </c>
      <c r="II29" s="60" t="str">
        <f>IFERROR(IF(II28="-","-",IF(II28&gt;=80,"A",IF(II28&gt;=60,"B",IF(II28&gt;=40,"C",IF(II28&gt;=20,"D",IF(II28&gt;=0,"E","-")))))),"E")</f>
        <v>E</v>
      </c>
      <c r="IJ29" s="60" t="str">
        <f>IFERROR(IF(IJ28="-","-",IF(IJ28&gt;=80,"A",IF(IJ28&gt;=60,"B",IF(IJ28&gt;=40,"C",IF(IJ28&gt;=20,"D",IF(IJ28&gt;=0,"E","-")))))),"E")</f>
        <v>E</v>
      </c>
      <c r="IK29" s="60" t="str">
        <f>IFERROR(IF(IK28="-","-",IF(IK28&gt;=80,"A",IF(IK28&gt;=60,"B",IF(IK28&gt;=40,"C",IF(IK28&gt;=20,"D",IF(IK28&gt;=0,"E","-")))))),"E")</f>
        <v>E</v>
      </c>
      <c r="IL29" s="60" t="str">
        <f>IFERROR(IF(IL28="-","-",IF(IL28&gt;=80,"A",IF(IL28&gt;=60,"B",IF(IL28&gt;=40,"C",IF(IL28&gt;=20,"D",IF(IL28&gt;=0,"E","-")))))),"E")</f>
        <v>E</v>
      </c>
      <c r="IM29" s="60" t="str">
        <f>IFERROR(IF(IM28="-","-",IF(IM28&gt;=80,"A",IF(IM28&gt;=60,"B",IF(IM28&gt;=40,"C",IF(IM28&gt;=20,"D",IF(IM28&gt;=0,"E","-")))))),"E")</f>
        <v>E</v>
      </c>
      <c r="IN29" s="60" t="str">
        <f>IFERROR(IF(IN28="-","-",IF(IN28&gt;=80,"A",IF(IN28&gt;=60,"B",IF(IN28&gt;=40,"C",IF(IN28&gt;=20,"D",IF(IN28&gt;=0,"E","-")))))),"E")</f>
        <v>E</v>
      </c>
      <c r="IO29" s="60" t="str">
        <f>IFERROR(IF(IO28="-","-",IF(IO28&gt;=80,"A",IF(IO28&gt;=60,"B",IF(IO28&gt;=40,"C",IF(IO28&gt;=20,"D",IF(IO28&gt;=0,"E","-")))))),"E")</f>
        <v>E</v>
      </c>
      <c r="IP29" s="60" t="str">
        <f>IFERROR(IF(IP28="-","-",IF(IP28&gt;=80,"A",IF(IP28&gt;=60,"B",IF(IP28&gt;=40,"C",IF(IP28&gt;=20,"D",IF(IP28&gt;=0,"E","-")))))),"E")</f>
        <v>E</v>
      </c>
      <c r="IQ29" s="60" t="str">
        <f>IFERROR(IF(IQ28="-","-",IF(IQ28&gt;=80,"A",IF(IQ28&gt;=60,"B",IF(IQ28&gt;=40,"C",IF(IQ28&gt;=20,"D",IF(IQ28&gt;=0,"E","-")))))),"E")</f>
        <v>E</v>
      </c>
      <c r="IR29" s="60" t="str">
        <f>IFERROR(IF(IR28="-","-",IF(IR28&gt;=80,"A",IF(IR28&gt;=60,"B",IF(IR28&gt;=40,"C",IF(IR28&gt;=20,"D",IF(IR28&gt;=0,"E","-")))))),"E")</f>
        <v>E</v>
      </c>
      <c r="IS29" s="60" t="str">
        <f>IFERROR(IF(IS28="-","-",IF(IS28&gt;=80,"A",IF(IS28&gt;=60,"B",IF(IS28&gt;=40,"C",IF(IS28&gt;=20,"D",IF(IS28&gt;=0,"E","-")))))),"E")</f>
        <v>E</v>
      </c>
      <c r="IT29" s="60" t="str">
        <f>IFERROR(IF(IT28="-","-",IF(IT28&gt;=80,"A",IF(IT28&gt;=60,"B",IF(IT28&gt;=40,"C",IF(IT28&gt;=20,"D",IF(IT28&gt;=0,"E","-")))))),"E")</f>
        <v>E</v>
      </c>
      <c r="IU29" s="60" t="str">
        <f>IFERROR(IF(IU28="-","-",IF(IU28&gt;=80,"A",IF(IU28&gt;=60,"B",IF(IU28&gt;=40,"C",IF(IU28&gt;=20,"D",IF(IU28&gt;=0,"E","-")))))),"E")</f>
        <v>E</v>
      </c>
    </row>
  </sheetData>
  <mergeCells>
    <mergeCell ref="B27:B29"/>
    <mergeCell ref="C27:C29"/>
    <mergeCell ref="B2:B13"/>
  </mergeCells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>
  <dc:creator>user</dc:creator>
</cp:coreProperties>
</file>